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rita\Downloads\"/>
    </mc:Choice>
  </mc:AlternateContent>
  <xr:revisionPtr revIDLastSave="0" documentId="13_ncr:1_{DA029A1B-7A4C-4013-A270-E27A754E5190}" xr6:coauthVersionLast="47" xr6:coauthVersionMax="47" xr10:uidLastSave="{00000000-0000-0000-0000-000000000000}"/>
  <bookViews>
    <workbookView xWindow="-108" yWindow="-108" windowWidth="23256" windowHeight="12456" xr2:uid="{F5E28C73-9801-4291-AB58-9276391F727C}"/>
  </bookViews>
  <sheets>
    <sheet name="Raw_Data" sheetId="1" r:id="rId1"/>
    <sheet name="monthly_analysis" sheetId="5" r:id="rId2"/>
    <sheet name="product analysis" sheetId="6" r:id="rId3"/>
    <sheet name="region_sales data" sheetId="7" r:id="rId4"/>
    <sheet name="sales_persondata" sheetId="8" r:id="rId5"/>
    <sheet name="clean_data" sheetId="2" r:id="rId6"/>
    <sheet name="analysis" sheetId="3" r:id="rId7"/>
    <sheet name="sales_dashboard" sheetId="4" r:id="rId8"/>
  </sheets>
  <definedNames>
    <definedName name="Slicer_Order_Date">#N/A</definedName>
    <definedName name="Slicer_Product">#N/A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4" l="1"/>
  <c r="H5" i="4"/>
  <c r="B4" i="4"/>
  <c r="H4" i="4"/>
  <c r="B5" i="4"/>
  <c r="K5" i="4"/>
  <c r="E4" i="4"/>
  <c r="E5" i="4"/>
  <c r="B6" i="3"/>
  <c r="B5" i="3"/>
  <c r="G52" i="2"/>
  <c r="A52" i="2"/>
  <c r="I52" i="2"/>
  <c r="H52" i="2"/>
  <c r="F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3" i="1"/>
  <c r="I4" i="1"/>
  <c r="I5" i="1"/>
  <c r="I6" i="1"/>
  <c r="I7" i="1"/>
  <c r="I8" i="1"/>
  <c r="I9" i="1"/>
  <c r="I10" i="1"/>
  <c r="I11" i="1"/>
  <c r="I12" i="1"/>
  <c r="I13" i="1"/>
  <c r="I14" i="1"/>
  <c r="I15" i="1"/>
  <c r="I16" i="1"/>
  <c r="I17" i="1"/>
  <c r="I2" i="1"/>
  <c r="B3" i="3" l="1"/>
</calcChain>
</file>

<file path=xl/sharedStrings.xml><?xml version="1.0" encoding="utf-8"?>
<sst xmlns="http://schemas.openxmlformats.org/spreadsheetml/2006/main" count="458" uniqueCount="42">
  <si>
    <t>Order_Date</t>
  </si>
  <si>
    <t>Product</t>
  </si>
  <si>
    <t>Category</t>
  </si>
  <si>
    <t>Region</t>
  </si>
  <si>
    <t>Salesperson</t>
  </si>
  <si>
    <t>Quantity</t>
  </si>
  <si>
    <t>Unit_Price</t>
  </si>
  <si>
    <t>Laptop</t>
  </si>
  <si>
    <t>Electronics</t>
  </si>
  <si>
    <t>Hyderabad</t>
  </si>
  <si>
    <t>Ravi</t>
  </si>
  <si>
    <t>Mouse</t>
  </si>
  <si>
    <t>Accessories</t>
  </si>
  <si>
    <t>Chennai</t>
  </si>
  <si>
    <t>Priya</t>
  </si>
  <si>
    <t>Keyboard</t>
  </si>
  <si>
    <t>Bangalore</t>
  </si>
  <si>
    <t>Arun</t>
  </si>
  <si>
    <t>Monitor</t>
  </si>
  <si>
    <t>Sneha</t>
  </si>
  <si>
    <t>Mumbai</t>
  </si>
  <si>
    <t>Kiran</t>
  </si>
  <si>
    <t>Headphones</t>
  </si>
  <si>
    <t>revenue</t>
  </si>
  <si>
    <t>Column1</t>
  </si>
  <si>
    <t>Sales Performance Analysis</t>
  </si>
  <si>
    <t>Total Revenue</t>
  </si>
  <si>
    <t>total orders</t>
  </si>
  <si>
    <t>total quantity sold</t>
  </si>
  <si>
    <t>Average Order Value</t>
  </si>
  <si>
    <t>Row Labels</t>
  </si>
  <si>
    <t>Grand Total</t>
  </si>
  <si>
    <t>Jan</t>
  </si>
  <si>
    <t>Feb</t>
  </si>
  <si>
    <t>Mar</t>
  </si>
  <si>
    <t>Apr</t>
  </si>
  <si>
    <t>May</t>
  </si>
  <si>
    <t>Sum of revenue</t>
  </si>
  <si>
    <t>laptop</t>
  </si>
  <si>
    <t>top revenue  product</t>
  </si>
  <si>
    <t>top product revenue</t>
  </si>
  <si>
    <t>SALES REVENUE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</si>
</sst>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 [$₹-4009]\ * #,##0.0_ ;_ [$₹-4009]\ * \-#,##0.0_ ;_ [$₹-4009]\ * &quot;-&quot;??_ ;_ @_ "/>
    <numFmt numFmtId="165" formatCode="_ [$₹-4009]\ * #,##0_ ;_ [$₹-4009]\ * \-#,##0_ ;_ [$₹-4009]\ * &quot;-&quot;??_ ;_ @_ "/>
  </numFmts>
  <fonts count="5">
    <font>
      <sz val="11"/>
      <color theme="1"/>
      <name val="Calibri"/>
      <family val="2"/>
      <scheme val="minor"/>
    </font>
    <font>
      <sz val="11"/>
      <color theme="1"/>
      <name val="Calibri"/>
      <family val="2"/>
      <scheme val="minor"/>
    </font>
    <font>
      <b/>
      <sz val="18"/>
      <color theme="1"/>
      <name val="Calibri"/>
      <family val="2"/>
      <scheme val="minor"/>
    </font>
    <font>
      <sz val="11"/>
      <color theme="1"/>
      <name val="Italic"/>
    </font>
    <font>
      <sz val="18"/>
      <color theme="1"/>
      <name val="Italic"/>
    </font>
  </fonts>
  <fills count="5">
    <fill>
      <patternFill patternType="none"/>
    </fill>
    <fill>
      <patternFill patternType="gray125"/>
    </fill>
    <fill>
      <patternFill patternType="solid">
        <fgColor theme="3"/>
        <bgColor indexed="64"/>
      </patternFill>
    </fill>
    <fill>
      <patternFill patternType="solid">
        <fgColor theme="7" tint="-0.249977111117893"/>
        <bgColor indexed="64"/>
      </patternFill>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15" fontId="0" fillId="0" borderId="0" xfId="0" applyNumberFormat="1"/>
    <xf numFmtId="165" fontId="0" fillId="0" borderId="0" xfId="1" applyNumberFormat="1" applyFont="1"/>
    <xf numFmtId="164" fontId="0" fillId="0" borderId="0" xfId="0" applyNumberFormat="1"/>
    <xf numFmtId="165"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3" fillId="2" borderId="0" xfId="0" applyFont="1" applyFill="1" applyAlignment="1">
      <alignment horizontal="center"/>
    </xf>
    <xf numFmtId="0" fontId="0" fillId="2" borderId="0" xfId="0" applyFill="1" applyAlignment="1">
      <alignment horizontal="center"/>
    </xf>
    <xf numFmtId="0" fontId="4" fillId="3" borderId="1" xfId="0" applyFont="1" applyFill="1" applyBorder="1" applyAlignment="1">
      <alignment horizontal="center" vertical="center"/>
    </xf>
    <xf numFmtId="0" fontId="2" fillId="4" borderId="2" xfId="0" applyFont="1" applyFill="1" applyBorder="1" applyAlignment="1">
      <alignment horizontal="center"/>
    </xf>
    <xf numFmtId="0" fontId="2" fillId="4" borderId="1" xfId="0" applyFont="1" applyFill="1" applyBorder="1" applyAlignment="1">
      <alignment horizontal="center"/>
    </xf>
    <xf numFmtId="165" fontId="2" fillId="4" borderId="2" xfId="0" applyNumberFormat="1" applyFont="1" applyFill="1" applyBorder="1" applyAlignment="1">
      <alignment horizontal="center"/>
    </xf>
    <xf numFmtId="165" fontId="2" fillId="4" borderId="1" xfId="0" applyNumberFormat="1" applyFont="1" applyFill="1" applyBorder="1" applyAlignment="1">
      <alignment horizontal="center"/>
    </xf>
    <xf numFmtId="165" fontId="2" fillId="4" borderId="2" xfId="1" applyNumberFormat="1" applyFont="1" applyFill="1" applyBorder="1" applyAlignment="1">
      <alignment horizontal="center"/>
    </xf>
    <xf numFmtId="165" fontId="2" fillId="4" borderId="1" xfId="1" applyNumberFormat="1" applyFont="1" applyFill="1" applyBorder="1" applyAlignment="1">
      <alignment horizontal="center"/>
    </xf>
    <xf numFmtId="0" fontId="0" fillId="0" borderId="0" xfId="0" applyNumberFormat="1"/>
  </cellXfs>
  <cellStyles count="2">
    <cellStyle name="Currency" xfId="1" builtinId="4"/>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_ [$₹-4009]\ * #,##0.0_ ;_ [$₹-4009]\ * \-#,##0.0_ ;_ [$₹-4009]\ * &quot;-&quot;??_ ;_ @_ "/>
    </dxf>
    <dxf>
      <numFmt numFmtId="164" formatCode="_ [$₹-4009]\ * #,##0.0_ ;_ [$₹-4009]\ * \-#,##0.0_ ;_ [$₹-4009]\ * &quot;-&quot;??_ ;_ @_ "/>
    </dxf>
    <dxf>
      <numFmt numFmtId="19" formatCode="d/mm/yyyy"/>
    </dxf>
    <dxf>
      <numFmt numFmtId="164" formatCode="_ [$₹-4009]\ * #,##0.0_ ;_ [$₹-4009]\ * \-#,##0.0_ ;_ [$₹-4009]\ * &quot;-&quot;??_ ;_ @_ "/>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[sales.xlsx]monthly_analysis!PivotTable1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analysis</a:t>
            </a:r>
            <a:endParaRPr lang="en-US" b="1"/>
          </a:p>
        </c:rich>
      </c:tx>
      <c:layout>
        <c:manualLayout>
          <c:xMode val="edge"/>
          <c:yMode val="edge"/>
          <c:x val="0.30315628709885822"/>
          <c:y val="0.105330253650737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monthly_analysis!$B$3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monthly_analysis!$A$4:$A$9</c:f>
              <c:strCache>
                <c:ptCount val="5"/>
                <c:pt idx="0">
                  <c:v>Jan</c:v>
                </c:pt>
                <c:pt idx="1">
                  <c:v>Feb</c:v>
                </c:pt>
                <c:pt idx="2">
                  <c:v>Mar</c:v>
                </c:pt>
                <c:pt idx="3">
                  <c:v>Apr</c:v>
                </c:pt>
                <c:pt idx="4">
                  <c:v>May</c:v>
                </c:pt>
              </c:strCache>
            </c:strRef>
          </c:cat>
          <c:val>
            <c:numRef>
              <c:f>monthly_analysis!$B$4:$B$9</c:f>
              <c:numCache>
                <c:formatCode>General</c:formatCode>
                <c:ptCount val="5"/>
                <c:pt idx="0">
                  <c:v>318900</c:v>
                </c:pt>
                <c:pt idx="1">
                  <c:v>261600</c:v>
                </c:pt>
                <c:pt idx="2">
                  <c:v>343800</c:v>
                </c:pt>
                <c:pt idx="3">
                  <c:v>290300</c:v>
                </c:pt>
                <c:pt idx="4">
                  <c:v>366900</c:v>
                </c:pt>
              </c:numCache>
            </c:numRef>
          </c:val>
          <c:smooth val="0"/>
          <c:extLst>
            <c:ext xmlns:c16="http://schemas.microsoft.com/office/drawing/2014/chart" uri="{C3380CC4-5D6E-409C-BE32-E72D297353CC}">
              <c16:uniqueId val="{00000000-614F-4625-B97B-22947DCA5E71}"/>
            </c:ext>
          </c:extLst>
        </c:ser>
        <c:dLbls>
          <c:dLblPos val="t"/>
          <c:showLegendKey val="0"/>
          <c:showVal val="1"/>
          <c:showCatName val="0"/>
          <c:showSerName val="0"/>
          <c:showPercent val="0"/>
          <c:showBubbleSize val="0"/>
        </c:dLbls>
        <c:smooth val="0"/>
        <c:axId val="1474004896"/>
        <c:axId val="1329410032"/>
      </c:lineChart>
      <c:catAx>
        <c:axId val="147400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410032"/>
        <c:crosses val="autoZero"/>
        <c:auto val="1"/>
        <c:lblAlgn val="ctr"/>
        <c:lblOffset val="100"/>
        <c:noMultiLvlLbl val="0"/>
      </c:catAx>
      <c:valAx>
        <c:axId val="132941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04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[sales.xlsx]product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revenue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0819645335002"/>
          <c:y val="0.29652350734918381"/>
          <c:w val="0.72312270341207352"/>
          <c:h val="0.53774387576552929"/>
        </c:manualLayout>
      </c:layout>
      <c:barChart>
        <c:barDir val="col"/>
        <c:grouping val="clustered"/>
        <c:varyColors val="0"/>
        <c:ser>
          <c:idx val="0"/>
          <c:order val="0"/>
          <c:tx>
            <c:strRef>
              <c:f>'product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analysis'!$A$4:$A$9</c:f>
              <c:strCache>
                <c:ptCount val="5"/>
                <c:pt idx="0">
                  <c:v>Laptop</c:v>
                </c:pt>
                <c:pt idx="1">
                  <c:v>Monitor</c:v>
                </c:pt>
                <c:pt idx="2">
                  <c:v>Headphones</c:v>
                </c:pt>
                <c:pt idx="3">
                  <c:v>Keyboard</c:v>
                </c:pt>
                <c:pt idx="4">
                  <c:v>Mouse</c:v>
                </c:pt>
              </c:strCache>
            </c:strRef>
          </c:cat>
          <c:val>
            <c:numRef>
              <c:f>'product analysis'!$B$4:$B$9</c:f>
              <c:numCache>
                <c:formatCode>General</c:formatCode>
                <c:ptCount val="5"/>
                <c:pt idx="0">
                  <c:v>945000</c:v>
                </c:pt>
                <c:pt idx="1">
                  <c:v>336000</c:v>
                </c:pt>
                <c:pt idx="2">
                  <c:v>135000</c:v>
                </c:pt>
                <c:pt idx="3">
                  <c:v>85500</c:v>
                </c:pt>
                <c:pt idx="4">
                  <c:v>80000</c:v>
                </c:pt>
              </c:numCache>
            </c:numRef>
          </c:val>
          <c:extLst>
            <c:ext xmlns:c16="http://schemas.microsoft.com/office/drawing/2014/chart" uri="{C3380CC4-5D6E-409C-BE32-E72D297353CC}">
              <c16:uniqueId val="{00000000-EE77-49E8-B601-E1508DAFF0D0}"/>
            </c:ext>
          </c:extLst>
        </c:ser>
        <c:dLbls>
          <c:dLblPos val="outEnd"/>
          <c:showLegendKey val="0"/>
          <c:showVal val="1"/>
          <c:showCatName val="0"/>
          <c:showSerName val="0"/>
          <c:showPercent val="0"/>
          <c:showBubbleSize val="0"/>
        </c:dLbls>
        <c:gapWidth val="219"/>
        <c:overlap val="-27"/>
        <c:axId val="1474016496"/>
        <c:axId val="1494803439"/>
      </c:barChart>
      <c:catAx>
        <c:axId val="147401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03439"/>
        <c:crosses val="autoZero"/>
        <c:auto val="1"/>
        <c:lblAlgn val="ctr"/>
        <c:lblOffset val="100"/>
        <c:noMultiLvlLbl val="0"/>
      </c:catAx>
      <c:valAx>
        <c:axId val="149480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1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[sales.xlsx]region_sales data!PivotTable3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regional data</a:t>
            </a:r>
            <a:endParaRPr lang="en-US" b="1"/>
          </a:p>
        </c:rich>
      </c:tx>
      <c:layout>
        <c:manualLayout>
          <c:xMode val="edge"/>
          <c:yMode val="edge"/>
          <c:x val="0.37214184059691285"/>
          <c:y val="7.0078498932284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'region_sales 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'region_sales data'!$A$4:$A$8</c:f>
              <c:strCache>
                <c:ptCount val="4"/>
                <c:pt idx="0">
                  <c:v>Bangalore</c:v>
                </c:pt>
                <c:pt idx="1">
                  <c:v>Chennai</c:v>
                </c:pt>
                <c:pt idx="2">
                  <c:v>Hyderabad</c:v>
                </c:pt>
                <c:pt idx="3">
                  <c:v>Mumbai</c:v>
                </c:pt>
              </c:strCache>
            </c:strRef>
          </c:cat>
          <c:val>
            <c:numRef>
              <c:f>'region_sales data'!$B$4:$B$8</c:f>
              <c:numCache>
                <c:formatCode>General</c:formatCode>
                <c:ptCount val="4"/>
                <c:pt idx="0">
                  <c:v>344000</c:v>
                </c:pt>
                <c:pt idx="1">
                  <c:v>357700</c:v>
                </c:pt>
                <c:pt idx="2">
                  <c:v>389100</c:v>
                </c:pt>
                <c:pt idx="3">
                  <c:v>490700</c:v>
                </c:pt>
              </c:numCache>
            </c:numRef>
          </c:val>
          <c:extLst>
            <c:ext xmlns:c16="http://schemas.microsoft.com/office/drawing/2014/chart" uri="{C3380CC4-5D6E-409C-BE32-E72D297353CC}">
              <c16:uniqueId val="{00000000-49CD-454F-9A46-528A4C7238F7}"/>
            </c:ext>
          </c:extLst>
        </c:ser>
        <c:dLbls>
          <c:dLblPos val="outEnd"/>
          <c:showLegendKey val="0"/>
          <c:showVal val="1"/>
          <c:showCatName val="0"/>
          <c:showSerName val="0"/>
          <c:showPercent val="0"/>
          <c:showBubbleSize val="0"/>
        </c:dLbls>
        <c:gapWidth val="182"/>
        <c:axId val="1559149792"/>
        <c:axId val="1494815919"/>
      </c:barChart>
      <c:catAx>
        <c:axId val="1559149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15919"/>
        <c:crosses val="autoZero"/>
        <c:auto val="1"/>
        <c:lblAlgn val="ctr"/>
        <c:lblOffset val="100"/>
        <c:noMultiLvlLbl val="0"/>
      </c:catAx>
      <c:valAx>
        <c:axId val="1494815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4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[sales.xlsx]product analysis!PivotTable2</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sales product  contribution</a:t>
            </a:r>
            <a:r>
              <a:rPr lang="en-US" baseline="0">
                <a:solidFill>
                  <a:schemeClr val="tx1"/>
                </a:solidFill>
              </a:rPr>
              <a:t>  </a:t>
            </a:r>
            <a:endParaRPr lang="en-US">
              <a:solidFill>
                <a:schemeClr val="tx1"/>
              </a:solidFill>
            </a:endParaRPr>
          </a:p>
        </c:rich>
      </c:tx>
      <c:layout>
        <c:manualLayout>
          <c:xMode val="edge"/>
          <c:yMode val="edge"/>
          <c:x val="0.24644348717007999"/>
          <c:y val="8.54340075690068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6.1111111111111109E-2"/>
              <c:y val="-0.12037037037037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222222222222222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166666666666666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083333333333333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7222222222222224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7222222222222224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3333333333333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66666666666666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22222222222222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1111111111111109E-2"/>
              <c:y val="-0.12037037037037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19-4842-BE6C-43F79F3342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19-4842-BE6C-43F79F3342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19-4842-BE6C-43F79F3342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19-4842-BE6C-43F79F3342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19-4842-BE6C-43F79F334294}"/>
              </c:ext>
            </c:extLst>
          </c:dPt>
          <c:dLbls>
            <c:dLbl>
              <c:idx val="0"/>
              <c:layout>
                <c:manualLayout>
                  <c:x val="9.7222222222222224E-2"/>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19-4842-BE6C-43F79F334294}"/>
                </c:ext>
              </c:extLst>
            </c:dLbl>
            <c:dLbl>
              <c:idx val="1"/>
              <c:layout>
                <c:manualLayout>
                  <c:x val="-0.10833333333333336"/>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19-4842-BE6C-43F79F334294}"/>
                </c:ext>
              </c:extLst>
            </c:dLbl>
            <c:dLbl>
              <c:idx val="2"/>
              <c:layout>
                <c:manualLayout>
                  <c:x val="-0.1166666666666666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19-4842-BE6C-43F79F334294}"/>
                </c:ext>
              </c:extLst>
            </c:dLbl>
            <c:dLbl>
              <c:idx val="3"/>
              <c:layout>
                <c:manualLayout>
                  <c:x val="-0.1222222222222222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19-4842-BE6C-43F79F334294}"/>
                </c:ext>
              </c:extLst>
            </c:dLbl>
            <c:dLbl>
              <c:idx val="4"/>
              <c:layout>
                <c:manualLayout>
                  <c:x val="-6.1111111111111109E-2"/>
                  <c:y val="-0.12037037037037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319-4842-BE6C-43F79F3342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analysis'!$A$4:$A$9</c:f>
              <c:strCache>
                <c:ptCount val="5"/>
                <c:pt idx="0">
                  <c:v>Laptop</c:v>
                </c:pt>
                <c:pt idx="1">
                  <c:v>Monitor</c:v>
                </c:pt>
                <c:pt idx="2">
                  <c:v>Headphones</c:v>
                </c:pt>
                <c:pt idx="3">
                  <c:v>Keyboard</c:v>
                </c:pt>
                <c:pt idx="4">
                  <c:v>Mouse</c:v>
                </c:pt>
              </c:strCache>
            </c:strRef>
          </c:cat>
          <c:val>
            <c:numRef>
              <c:f>'product analysis'!$B$4:$B$9</c:f>
              <c:numCache>
                <c:formatCode>General</c:formatCode>
                <c:ptCount val="5"/>
                <c:pt idx="0">
                  <c:v>945000</c:v>
                </c:pt>
                <c:pt idx="1">
                  <c:v>336000</c:v>
                </c:pt>
                <c:pt idx="2">
                  <c:v>135000</c:v>
                </c:pt>
                <c:pt idx="3">
                  <c:v>85500</c:v>
                </c:pt>
                <c:pt idx="4">
                  <c:v>80000</c:v>
                </c:pt>
              </c:numCache>
            </c:numRef>
          </c:val>
          <c:extLst>
            <c:ext xmlns:c16="http://schemas.microsoft.com/office/drawing/2014/chart" uri="{C3380CC4-5D6E-409C-BE32-E72D297353CC}">
              <c16:uniqueId val="{0000000A-0319-4842-BE6C-43F79F3342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[sales.xlsx]sales_persondata!PivotTable4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persons revenue  data</a:t>
            </a:r>
            <a:endParaRPr lang="en-US"/>
          </a:p>
        </c:rich>
      </c:tx>
      <c:layout>
        <c:manualLayout>
          <c:xMode val="edge"/>
          <c:yMode val="edge"/>
          <c:x val="0.32640562445312388"/>
          <c:y val="6.98476483095073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5816920243641"/>
          <c:y val="0.29730041628104609"/>
          <c:w val="0.5725365691091383"/>
          <c:h val="0.6152518080339745"/>
        </c:manualLayout>
      </c:layout>
      <c:barChart>
        <c:barDir val="bar"/>
        <c:grouping val="clustered"/>
        <c:varyColors val="0"/>
        <c:ser>
          <c:idx val="0"/>
          <c:order val="0"/>
          <c:tx>
            <c:strRef>
              <c:f>sales_persondata!$B$3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sales_persondata!$A$4:$A$9</c:f>
              <c:strCache>
                <c:ptCount val="5"/>
                <c:pt idx="0">
                  <c:v>Arun</c:v>
                </c:pt>
                <c:pt idx="1">
                  <c:v>Kiran</c:v>
                </c:pt>
                <c:pt idx="2">
                  <c:v>Priya</c:v>
                </c:pt>
                <c:pt idx="3">
                  <c:v>Ravi</c:v>
                </c:pt>
                <c:pt idx="4">
                  <c:v>Sneha</c:v>
                </c:pt>
              </c:strCache>
            </c:strRef>
          </c:cat>
          <c:val>
            <c:numRef>
              <c:f>sales_persondata!$B$4:$B$9</c:f>
              <c:numCache>
                <c:formatCode>General</c:formatCode>
                <c:ptCount val="5"/>
                <c:pt idx="0">
                  <c:v>231500</c:v>
                </c:pt>
                <c:pt idx="1">
                  <c:v>246000</c:v>
                </c:pt>
                <c:pt idx="2">
                  <c:v>230600</c:v>
                </c:pt>
                <c:pt idx="3">
                  <c:v>757000</c:v>
                </c:pt>
                <c:pt idx="4">
                  <c:v>116400</c:v>
                </c:pt>
              </c:numCache>
            </c:numRef>
          </c:val>
          <c:extLst>
            <c:ext xmlns:c16="http://schemas.microsoft.com/office/drawing/2014/chart" uri="{C3380CC4-5D6E-409C-BE32-E72D297353CC}">
              <c16:uniqueId val="{00000000-D2CB-4C34-8218-E3D8A14E6CAC}"/>
            </c:ext>
          </c:extLst>
        </c:ser>
        <c:dLbls>
          <c:dLblPos val="outEnd"/>
          <c:showLegendKey val="0"/>
          <c:showVal val="1"/>
          <c:showCatName val="0"/>
          <c:showSerName val="0"/>
          <c:showPercent val="0"/>
          <c:showBubbleSize val="0"/>
        </c:dLbls>
        <c:gapWidth val="182"/>
        <c:axId val="1508357823"/>
        <c:axId val="1494853839"/>
      </c:barChart>
      <c:catAx>
        <c:axId val="150835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53839"/>
        <c:crosses val="autoZero"/>
        <c:auto val="1"/>
        <c:lblAlgn val="ctr"/>
        <c:lblOffset val="100"/>
        <c:noMultiLvlLbl val="0"/>
      </c:catAx>
      <c:valAx>
        <c:axId val="1494853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5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92479</xdr:colOff>
      <xdr:row>21</xdr:row>
      <xdr:rowOff>138544</xdr:rowOff>
    </xdr:from>
    <xdr:to>
      <xdr:col>14</xdr:col>
      <xdr:colOff>60613</xdr:colOff>
      <xdr:row>37</xdr:row>
      <xdr:rowOff>43294</xdr:rowOff>
    </xdr:to>
    <xdr:graphicFrame macro="">
      <xdr:nvGraphicFramePr>
        <xdr:cNvPr id="2" name="Chart 1">
          <a:extLst>
            <a:ext uri="{FF2B5EF4-FFF2-40B4-BE49-F238E27FC236}">
              <a16:creationId xmlns:a16="http://schemas.microsoft.com/office/drawing/2014/main" id="{80ABD7E7-AAE8-0FD7-E82D-D866B47C368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251113</xdr:colOff>
      <xdr:row>6</xdr:row>
      <xdr:rowOff>69273</xdr:rowOff>
    </xdr:from>
    <xdr:to>
      <xdr:col>7</xdr:col>
      <xdr:colOff>1737872</xdr:colOff>
      <xdr:row>21</xdr:row>
      <xdr:rowOff>0</xdr:rowOff>
    </xdr:to>
    <xdr:graphicFrame macro="">
      <xdr:nvGraphicFramePr>
        <xdr:cNvPr id="3" name="Chart 1">
          <a:extLst>
            <a:ext uri="{FF2B5EF4-FFF2-40B4-BE49-F238E27FC236}">
              <a16:creationId xmlns:a16="http://schemas.microsoft.com/office/drawing/2014/main" id="{767FC60C-BDC2-6BF9-5942-0F4F0FFE4B7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216477</xdr:colOff>
      <xdr:row>21</xdr:row>
      <xdr:rowOff>121228</xdr:rowOff>
    </xdr:from>
    <xdr:to>
      <xdr:col>7</xdr:col>
      <xdr:colOff>1792432</xdr:colOff>
      <xdr:row>37</xdr:row>
      <xdr:rowOff>80984</xdr:rowOff>
    </xdr:to>
    <xdr:graphicFrame macro="">
      <xdr:nvGraphicFramePr>
        <xdr:cNvPr id="4" name="Chart 1">
          <a:extLst>
            <a:ext uri="{FF2B5EF4-FFF2-40B4-BE49-F238E27FC236}">
              <a16:creationId xmlns:a16="http://schemas.microsoft.com/office/drawing/2014/main" id="{AF4D121F-092D-ACF9-6EBE-F875780759D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xdr:colOff>
      <xdr:row>21</xdr:row>
      <xdr:rowOff>135582</xdr:rowOff>
    </xdr:from>
    <xdr:to>
      <xdr:col>3</xdr:col>
      <xdr:colOff>71045</xdr:colOff>
      <xdr:row>35</xdr:row>
      <xdr:rowOff>51955</xdr:rowOff>
    </xdr:to>
    <xdr:graphicFrame macro="">
      <xdr:nvGraphicFramePr>
        <xdr:cNvPr id="5" name="Chart 2">
          <a:extLst>
            <a:ext uri="{FF2B5EF4-FFF2-40B4-BE49-F238E27FC236}">
              <a16:creationId xmlns:a16="http://schemas.microsoft.com/office/drawing/2014/main" id="{BE1F9BB6-4095-AECE-E016-229D764CDB3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43295</xdr:colOff>
      <xdr:row>6</xdr:row>
      <xdr:rowOff>57343</xdr:rowOff>
    </xdr:from>
    <xdr:to>
      <xdr:col>13</xdr:col>
      <xdr:colOff>589780</xdr:colOff>
      <xdr:row>20</xdr:row>
      <xdr:rowOff>154496</xdr:rowOff>
    </xdr:to>
    <xdr:graphicFrame macro="">
      <xdr:nvGraphicFramePr>
        <xdr:cNvPr id="6" name="Chart 1">
          <a:extLst>
            <a:ext uri="{FF2B5EF4-FFF2-40B4-BE49-F238E27FC236}">
              <a16:creationId xmlns:a16="http://schemas.microsoft.com/office/drawing/2014/main" id="{9F56322D-707D-C9CB-34FC-0BD859A629A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112566</xdr:colOff>
      <xdr:row>6</xdr:row>
      <xdr:rowOff>164522</xdr:rowOff>
    </xdr:from>
    <xdr:to>
      <xdr:col>1</xdr:col>
      <xdr:colOff>1143000</xdr:colOff>
      <xdr:row>20</xdr:row>
      <xdr:rowOff>121227</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72E52FE3-DE40-062C-ECDC-9622F98E961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2566" y="1480704"/>
              <a:ext cx="1636570" cy="2502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1292629</xdr:colOff>
      <xdr:row>6</xdr:row>
      <xdr:rowOff>149976</xdr:rowOff>
    </xdr:from>
    <xdr:to>
      <xdr:col>2</xdr:col>
      <xdr:colOff>566997</xdr:colOff>
      <xdr:row>20</xdr:row>
      <xdr:rowOff>71178</xdr:rowOff>
    </xdr:to>
    <mc:AlternateContent xmlns:mc="http://schemas.openxmlformats.org/markup-compatibility/2006">
      <mc:Choice xmlns:a14="http://schemas.microsoft.com/office/drawing/2010/main" Requires="a14">
        <xdr:graphicFrame macro="">
          <xdr:nvGraphicFramePr>
            <xdr:cNvPr id="10" name="Order_Date">
              <a:extLst>
                <a:ext uri="{FF2B5EF4-FFF2-40B4-BE49-F238E27FC236}">
                  <a16:creationId xmlns:a16="http://schemas.microsoft.com/office/drawing/2014/main" id="{BC7DD426-7AF4-104D-7E4F-DE77F26ADE05}"/>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1898765" y="146615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Aritakula" refreshedDate="46298.731574305559" createdVersion="8" refreshedVersion="8" minRefreshableVersion="3" recordCount="50" xr:uid="{08DCCFD3-271D-4386-A3CB-215F7306C656}">
  <cacheSource type="worksheet">
    <worksheetSource name="cleansalesdata"/>
  </cacheSource>
  <cacheFields count="11">
    <cacheField name="Column1" numFmtId="0">
      <sharedItems containsSemiMixedTypes="0" containsString="0" containsNumber="1" containsInteger="1" minValue="1001" maxValue="1050"/>
    </cacheField>
    <cacheField name="Order_Date" numFmtId="14">
      <sharedItems containsSemiMixedTypes="0" containsNonDate="0" containsDate="1" containsString="0" minDate="2026-01-01T00:00:00" maxDate="2026-05-30T00:00:00" count="50">
        <d v="2026-01-01T00:00:00"/>
        <d v="2026-01-03T00:00:00"/>
        <d v="2026-01-05T00:00:00"/>
        <d v="2026-01-08T00:00:00"/>
        <d v="2026-01-12T00:00:00"/>
        <d v="2026-01-15T00:00:00"/>
        <d v="2026-01-18T00:00:00"/>
        <d v="2026-01-22T00:00:00"/>
        <d v="2026-01-25T00:00:00"/>
        <d v="2026-01-28T00:00:00"/>
        <d v="2026-02-02T00:00:00"/>
        <d v="2026-02-05T00:00:00"/>
        <d v="2026-02-08T00:00:00"/>
        <d v="2026-02-11T00:00:00"/>
        <d v="2026-02-14T00:00:00"/>
        <d v="2026-02-17T00:00:00"/>
        <d v="2026-02-20T00:00:00"/>
        <d v="2026-02-23T00:00:00"/>
        <d v="2026-02-25T00:00:00"/>
        <d v="2026-02-28T00:00:00"/>
        <d v="2026-03-03T00:00:00"/>
        <d v="2026-03-06T00:00:00"/>
        <d v="2026-03-09T00:00:00"/>
        <d v="2026-03-12T00:00:00"/>
        <d v="2026-03-15T00:00:00"/>
        <d v="2026-03-18T00:00:00"/>
        <d v="2026-03-21T00:00:00"/>
        <d v="2026-03-24T00:00:00"/>
        <d v="2026-03-27T00:00:00"/>
        <d v="2026-03-30T00:00:00"/>
        <d v="2026-04-02T00:00:00"/>
        <d v="2026-04-05T00:00:00"/>
        <d v="2026-04-08T00:00:00"/>
        <d v="2026-04-11T00:00:00"/>
        <d v="2026-04-14T00:00:00"/>
        <d v="2026-04-17T00:00:00"/>
        <d v="2026-04-20T00:00:00"/>
        <d v="2026-04-23T00:00:00"/>
        <d v="2026-04-26T00:00:00"/>
        <d v="2026-04-29T00:00:00"/>
        <d v="2026-05-02T00:00:00"/>
        <d v="2026-05-05T00:00:00"/>
        <d v="2026-05-08T00:00:00"/>
        <d v="2026-05-11T00:00:00"/>
        <d v="2026-05-14T00:00:00"/>
        <d v="2026-05-17T00:00:00"/>
        <d v="2026-05-20T00:00:00"/>
        <d v="2026-05-23T00:00:00"/>
        <d v="2026-05-26T00:00:00"/>
        <d v="2026-05-29T00:00:00"/>
      </sharedItems>
      <fieldGroup par="10"/>
    </cacheField>
    <cacheField name="Product" numFmtId="0">
      <sharedItems count="5">
        <s v="Laptop"/>
        <s v="Mouse"/>
        <s v="Keyboard"/>
        <s v="Monitor"/>
        <s v="Headphones"/>
      </sharedItems>
    </cacheField>
    <cacheField name="Category" numFmtId="0">
      <sharedItems/>
    </cacheField>
    <cacheField name="Region" numFmtId="0">
      <sharedItems count="4">
        <s v="Hyderabad"/>
        <s v="Chennai"/>
        <s v="Bangalore"/>
        <s v="Mumbai"/>
      </sharedItems>
    </cacheField>
    <cacheField name="Salesperson" numFmtId="0">
      <sharedItems count="5">
        <s v="Ravi"/>
        <s v="Priya"/>
        <s v="Arun"/>
        <s v="Sneha"/>
        <s v="Kiran"/>
      </sharedItems>
    </cacheField>
    <cacheField name="Quantity" numFmtId="0">
      <sharedItems containsSemiMixedTypes="0" containsString="0" containsNumber="1" containsInteger="1" minValue="1" maxValue="15"/>
    </cacheField>
    <cacheField name="Unit_Price" numFmtId="0">
      <sharedItems containsSemiMixedTypes="0" containsString="0" containsNumber="1" containsInteger="1" minValue="800" maxValue="45000"/>
    </cacheField>
    <cacheField name="revenue" numFmtId="0">
      <sharedItems containsSemiMixedTypes="0" containsString="0" containsNumber="1" containsInteger="1" minValue="4000" maxValue="135000" count="26">
        <n v="90000"/>
        <n v="4000"/>
        <n v="4500"/>
        <n v="24000"/>
        <n v="45000"/>
        <n v="10000"/>
        <n v="9000"/>
        <n v="36000"/>
        <n v="6400"/>
        <n v="48000"/>
        <n v="5600"/>
        <n v="12500"/>
        <n v="6000"/>
        <n v="8000"/>
        <n v="15000"/>
        <n v="7500"/>
        <n v="135000"/>
        <n v="7200"/>
        <n v="10500"/>
        <n v="9600"/>
        <n v="8800"/>
        <n v="20000"/>
        <n v="12000"/>
        <n v="22500"/>
        <n v="10400"/>
        <n v="17500"/>
      </sharedItems>
    </cacheField>
    <cacheField name="Days (Order_Date)" numFmtId="0" databaseField="0">
      <fieldGroup base="1">
        <rangePr groupBy="days" startDate="2026-01-01T00:00:00" endDate="2026-05-30T00:00:00"/>
        <groupItems count="368">
          <s v="&lt;1/0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0/05/2026"/>
        </groupItems>
      </fieldGroup>
    </cacheField>
    <cacheField name="Months (Order_Date)" numFmtId="0" databaseField="0">
      <fieldGroup base="1">
        <rangePr groupBy="months" startDate="2026-01-01T00:00:00" endDate="2026-05-30T00:00:00"/>
        <groupItems count="14">
          <s v="&lt;1/01/2026"/>
          <s v="Jan"/>
          <s v="Feb"/>
          <s v="Mar"/>
          <s v="Apr"/>
          <s v="May"/>
          <s v="Jun"/>
          <s v="Jul"/>
          <s v="Aug"/>
          <s v="Sep"/>
          <s v="Oct"/>
          <s v="Nov"/>
          <s v="Dec"/>
          <s v="&gt;30/05/2026"/>
        </groupItems>
      </fieldGroup>
    </cacheField>
  </cacheFields>
  <extLst>
    <ext xmlns:x14="http://schemas.microsoft.com/office/spreadsheetml/2009/9/main" uri="{725AE2AE-9491-48be-B2B4-4EB974FC3084}">
      <x14:pivotCacheDefinition pivotCacheId="1187926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x v="0"/>
    <x v="0"/>
    <s v="Electronics"/>
    <x v="0"/>
    <x v="0"/>
    <n v="2"/>
    <n v="45000"/>
    <x v="0"/>
  </r>
  <r>
    <n v="1002"/>
    <x v="1"/>
    <x v="1"/>
    <s v="Accessories"/>
    <x v="1"/>
    <x v="1"/>
    <n v="5"/>
    <n v="800"/>
    <x v="1"/>
  </r>
  <r>
    <n v="1003"/>
    <x v="2"/>
    <x v="2"/>
    <s v="Accessories"/>
    <x v="2"/>
    <x v="2"/>
    <n v="3"/>
    <n v="1500"/>
    <x v="2"/>
  </r>
  <r>
    <n v="1004"/>
    <x v="3"/>
    <x v="3"/>
    <s v="Electronics"/>
    <x v="0"/>
    <x v="3"/>
    <n v="2"/>
    <n v="12000"/>
    <x v="3"/>
  </r>
  <r>
    <n v="1005"/>
    <x v="4"/>
    <x v="0"/>
    <s v="Electronics"/>
    <x v="3"/>
    <x v="4"/>
    <n v="1"/>
    <n v="45000"/>
    <x v="4"/>
  </r>
  <r>
    <n v="1006"/>
    <x v="5"/>
    <x v="4"/>
    <s v="Accessories"/>
    <x v="1"/>
    <x v="0"/>
    <n v="4"/>
    <n v="2500"/>
    <x v="5"/>
  </r>
  <r>
    <n v="1007"/>
    <x v="6"/>
    <x v="2"/>
    <s v="Accessories"/>
    <x v="0"/>
    <x v="1"/>
    <n v="6"/>
    <n v="1500"/>
    <x v="6"/>
  </r>
  <r>
    <n v="1008"/>
    <x v="7"/>
    <x v="3"/>
    <s v="Electronics"/>
    <x v="2"/>
    <x v="2"/>
    <n v="3"/>
    <n v="12000"/>
    <x v="7"/>
  </r>
  <r>
    <n v="1009"/>
    <x v="8"/>
    <x v="1"/>
    <s v="Accessories"/>
    <x v="3"/>
    <x v="3"/>
    <n v="8"/>
    <n v="800"/>
    <x v="8"/>
  </r>
  <r>
    <n v="1010"/>
    <x v="9"/>
    <x v="0"/>
    <s v="Electronics"/>
    <x v="1"/>
    <x v="4"/>
    <n v="2"/>
    <n v="45000"/>
    <x v="0"/>
  </r>
  <r>
    <n v="1011"/>
    <x v="10"/>
    <x v="3"/>
    <s v="Electronics"/>
    <x v="0"/>
    <x v="0"/>
    <n v="4"/>
    <n v="12000"/>
    <x v="9"/>
  </r>
  <r>
    <n v="1012"/>
    <x v="11"/>
    <x v="1"/>
    <s v="Accessories"/>
    <x v="2"/>
    <x v="1"/>
    <n v="7"/>
    <n v="800"/>
    <x v="10"/>
  </r>
  <r>
    <n v="1013"/>
    <x v="12"/>
    <x v="0"/>
    <s v="Electronics"/>
    <x v="3"/>
    <x v="2"/>
    <n v="2"/>
    <n v="45000"/>
    <x v="0"/>
  </r>
  <r>
    <n v="1014"/>
    <x v="13"/>
    <x v="4"/>
    <s v="Accessories"/>
    <x v="0"/>
    <x v="3"/>
    <n v="5"/>
    <n v="2500"/>
    <x v="11"/>
  </r>
  <r>
    <n v="1015"/>
    <x v="14"/>
    <x v="2"/>
    <s v="Accessories"/>
    <x v="1"/>
    <x v="4"/>
    <n v="4"/>
    <n v="1500"/>
    <x v="12"/>
  </r>
  <r>
    <n v="1016"/>
    <x v="15"/>
    <x v="3"/>
    <s v="Electronics"/>
    <x v="2"/>
    <x v="0"/>
    <n v="2"/>
    <n v="12000"/>
    <x v="3"/>
  </r>
  <r>
    <n v="1017"/>
    <x v="16"/>
    <x v="1"/>
    <s v="Accessories"/>
    <x v="0"/>
    <x v="1"/>
    <n v="10"/>
    <n v="800"/>
    <x v="13"/>
  </r>
  <r>
    <n v="1018"/>
    <x v="17"/>
    <x v="0"/>
    <s v="Electronics"/>
    <x v="1"/>
    <x v="2"/>
    <n v="1"/>
    <n v="45000"/>
    <x v="4"/>
  </r>
  <r>
    <n v="1019"/>
    <x v="18"/>
    <x v="4"/>
    <s v="Accessories"/>
    <x v="3"/>
    <x v="3"/>
    <n v="6"/>
    <n v="2500"/>
    <x v="14"/>
  </r>
  <r>
    <n v="1020"/>
    <x v="19"/>
    <x v="2"/>
    <s v="Accessories"/>
    <x v="0"/>
    <x v="4"/>
    <n v="5"/>
    <n v="1500"/>
    <x v="15"/>
  </r>
  <r>
    <n v="1021"/>
    <x v="20"/>
    <x v="0"/>
    <s v="Electronics"/>
    <x v="2"/>
    <x v="0"/>
    <n v="3"/>
    <n v="45000"/>
    <x v="16"/>
  </r>
  <r>
    <n v="1022"/>
    <x v="21"/>
    <x v="3"/>
    <s v="Electronics"/>
    <x v="3"/>
    <x v="1"/>
    <n v="2"/>
    <n v="12000"/>
    <x v="3"/>
  </r>
  <r>
    <n v="1023"/>
    <x v="22"/>
    <x v="1"/>
    <s v="Accessories"/>
    <x v="1"/>
    <x v="2"/>
    <n v="9"/>
    <n v="800"/>
    <x v="17"/>
  </r>
  <r>
    <n v="1024"/>
    <x v="23"/>
    <x v="2"/>
    <s v="Accessories"/>
    <x v="0"/>
    <x v="3"/>
    <n v="7"/>
    <n v="1500"/>
    <x v="18"/>
  </r>
  <r>
    <n v="1025"/>
    <x v="24"/>
    <x v="4"/>
    <s v="Accessories"/>
    <x v="2"/>
    <x v="4"/>
    <n v="4"/>
    <n v="2500"/>
    <x v="5"/>
  </r>
  <r>
    <n v="1026"/>
    <x v="25"/>
    <x v="0"/>
    <s v="Electronics"/>
    <x v="3"/>
    <x v="0"/>
    <n v="2"/>
    <n v="45000"/>
    <x v="0"/>
  </r>
  <r>
    <n v="1027"/>
    <x v="26"/>
    <x v="3"/>
    <s v="Electronics"/>
    <x v="1"/>
    <x v="1"/>
    <n v="3"/>
    <n v="12000"/>
    <x v="7"/>
  </r>
  <r>
    <n v="1028"/>
    <x v="27"/>
    <x v="1"/>
    <s v="Accessories"/>
    <x v="0"/>
    <x v="2"/>
    <n v="12"/>
    <n v="800"/>
    <x v="19"/>
  </r>
  <r>
    <n v="1029"/>
    <x v="28"/>
    <x v="2"/>
    <s v="Accessories"/>
    <x v="3"/>
    <x v="3"/>
    <n v="6"/>
    <n v="1500"/>
    <x v="6"/>
  </r>
  <r>
    <n v="1030"/>
    <x v="29"/>
    <x v="4"/>
    <s v="Accessories"/>
    <x v="1"/>
    <x v="4"/>
    <n v="5"/>
    <n v="2500"/>
    <x v="11"/>
  </r>
  <r>
    <n v="1031"/>
    <x v="30"/>
    <x v="0"/>
    <s v="Electronics"/>
    <x v="0"/>
    <x v="0"/>
    <n v="2"/>
    <n v="45000"/>
    <x v="0"/>
  </r>
  <r>
    <n v="1032"/>
    <x v="31"/>
    <x v="3"/>
    <s v="Electronics"/>
    <x v="2"/>
    <x v="1"/>
    <n v="4"/>
    <n v="12000"/>
    <x v="9"/>
  </r>
  <r>
    <n v="1033"/>
    <x v="32"/>
    <x v="1"/>
    <s v="Accessories"/>
    <x v="3"/>
    <x v="2"/>
    <n v="11"/>
    <n v="800"/>
    <x v="20"/>
  </r>
  <r>
    <n v="1034"/>
    <x v="33"/>
    <x v="2"/>
    <s v="Accessories"/>
    <x v="1"/>
    <x v="3"/>
    <n v="5"/>
    <n v="1500"/>
    <x v="15"/>
  </r>
  <r>
    <n v="1035"/>
    <x v="34"/>
    <x v="4"/>
    <s v="Accessories"/>
    <x v="0"/>
    <x v="4"/>
    <n v="8"/>
    <n v="2500"/>
    <x v="21"/>
  </r>
  <r>
    <n v="1036"/>
    <x v="35"/>
    <x v="0"/>
    <s v="Electronics"/>
    <x v="2"/>
    <x v="0"/>
    <n v="1"/>
    <n v="45000"/>
    <x v="4"/>
  </r>
  <r>
    <n v="1037"/>
    <x v="36"/>
    <x v="3"/>
    <s v="Electronics"/>
    <x v="3"/>
    <x v="1"/>
    <n v="3"/>
    <n v="12000"/>
    <x v="7"/>
  </r>
  <r>
    <n v="1038"/>
    <x v="37"/>
    <x v="1"/>
    <s v="Accessories"/>
    <x v="1"/>
    <x v="2"/>
    <n v="10"/>
    <n v="800"/>
    <x v="13"/>
  </r>
  <r>
    <n v="1039"/>
    <x v="38"/>
    <x v="2"/>
    <s v="Accessories"/>
    <x v="0"/>
    <x v="3"/>
    <n v="8"/>
    <n v="1500"/>
    <x v="22"/>
  </r>
  <r>
    <n v="1040"/>
    <x v="39"/>
    <x v="4"/>
    <s v="Accessories"/>
    <x v="2"/>
    <x v="4"/>
    <n v="6"/>
    <n v="2500"/>
    <x v="14"/>
  </r>
  <r>
    <n v="1041"/>
    <x v="40"/>
    <x v="0"/>
    <s v="Electronics"/>
    <x v="3"/>
    <x v="0"/>
    <n v="3"/>
    <n v="45000"/>
    <x v="16"/>
  </r>
  <r>
    <n v="1042"/>
    <x v="41"/>
    <x v="3"/>
    <s v="Electronics"/>
    <x v="1"/>
    <x v="1"/>
    <n v="2"/>
    <n v="12000"/>
    <x v="3"/>
  </r>
  <r>
    <n v="1043"/>
    <x v="42"/>
    <x v="1"/>
    <s v="Accessories"/>
    <x v="0"/>
    <x v="2"/>
    <n v="15"/>
    <n v="800"/>
    <x v="22"/>
  </r>
  <r>
    <n v="1044"/>
    <x v="43"/>
    <x v="2"/>
    <s v="Accessories"/>
    <x v="2"/>
    <x v="3"/>
    <n v="7"/>
    <n v="1500"/>
    <x v="18"/>
  </r>
  <r>
    <n v="1045"/>
    <x v="44"/>
    <x v="4"/>
    <s v="Accessories"/>
    <x v="3"/>
    <x v="4"/>
    <n v="9"/>
    <n v="2500"/>
    <x v="23"/>
  </r>
  <r>
    <n v="1046"/>
    <x v="45"/>
    <x v="0"/>
    <s v="Electronics"/>
    <x v="1"/>
    <x v="0"/>
    <n v="2"/>
    <n v="45000"/>
    <x v="0"/>
  </r>
  <r>
    <n v="1047"/>
    <x v="46"/>
    <x v="3"/>
    <s v="Electronics"/>
    <x v="0"/>
    <x v="1"/>
    <n v="3"/>
    <n v="12000"/>
    <x v="7"/>
  </r>
  <r>
    <n v="1048"/>
    <x v="47"/>
    <x v="1"/>
    <s v="Accessories"/>
    <x v="2"/>
    <x v="2"/>
    <n v="13"/>
    <n v="800"/>
    <x v="24"/>
  </r>
  <r>
    <n v="1049"/>
    <x v="48"/>
    <x v="2"/>
    <s v="Accessories"/>
    <x v="3"/>
    <x v="3"/>
    <n v="6"/>
    <n v="1500"/>
    <x v="6"/>
  </r>
  <r>
    <n v="1050"/>
    <x v="49"/>
    <x v="4"/>
    <s v="Accessories"/>
    <x v="1"/>
    <x v="4"/>
    <n v="7"/>
    <n v="250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8DCEA9-1B1D-4767-869E-54EC2E582ED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1">
    <pivotField showAll="0"/>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1"/>
  </rowFields>
  <rowItems count="6">
    <i>
      <x v="1"/>
    </i>
    <i>
      <x v="2"/>
    </i>
    <i>
      <x v="3"/>
    </i>
    <i>
      <x v="4"/>
    </i>
    <i>
      <x v="5"/>
    </i>
    <i t="grand">
      <x/>
    </i>
  </rowItems>
  <colItems count="1">
    <i/>
  </colItems>
  <dataFields count="1">
    <dataField name="Sum of revenue" fld="8"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94EEB9-15AB-4EBB-9AB2-14F19A03D08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1">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27">
        <item x="1"/>
        <item x="2"/>
        <item x="10"/>
        <item x="12"/>
        <item x="8"/>
        <item x="17"/>
        <item x="15"/>
        <item x="13"/>
        <item x="20"/>
        <item x="6"/>
        <item x="19"/>
        <item x="5"/>
        <item x="24"/>
        <item x="18"/>
        <item x="22"/>
        <item x="11"/>
        <item x="14"/>
        <item x="25"/>
        <item x="21"/>
        <item x="23"/>
        <item x="3"/>
        <item x="7"/>
        <item x="4"/>
        <item x="9"/>
        <item x="0"/>
        <item x="16"/>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2"/>
    </i>
    <i>
      <x v="3"/>
    </i>
    <i>
      <x/>
    </i>
    <i>
      <x v="1"/>
    </i>
    <i>
      <x v="4"/>
    </i>
    <i t="grand">
      <x/>
    </i>
  </rowItems>
  <colItems count="1">
    <i/>
  </colItems>
  <dataFields count="1">
    <dataField name="Sum of revenue" fld="8" baseField="0" baseItem="0"/>
  </dataFields>
  <chartFormats count="7">
    <chartFormat chart="2"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2"/>
          </reference>
        </references>
      </pivotArea>
    </chartFormat>
    <chartFormat chart="6" format="8">
      <pivotArea type="data" outline="0" fieldPosition="0">
        <references count="2">
          <reference field="4294967294" count="1" selected="0">
            <x v="0"/>
          </reference>
          <reference field="2" count="1" selected="0">
            <x v="3"/>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2FB913-55B3-4BF4-8C61-A5C1663D08E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8" firstHeaderRow="1" firstDataRow="1" firstDataCol="1"/>
  <pivotFields count="11">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5">
        <item x="2"/>
        <item x="1"/>
        <item x="0"/>
        <item x="3"/>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revenue" fld="8" baseField="0"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B8E9D4-96E2-41AD-82DA-890C3688B31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1">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axis="axisRow" showAll="0">
      <items count="6">
        <item x="2"/>
        <item x="4"/>
        <item x="1"/>
        <item x="0"/>
        <item x="3"/>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Sum of revenue" fld="8" baseField="0" baseItem="0"/>
  </dataFields>
  <chartFormats count="1">
    <chartFormat chart="1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3081E50-B0F5-4254-976E-7EBFE45295D7}" sourceName="Product">
  <pivotTables>
    <pivotTable tabId="6" name="PivotTable2"/>
  </pivotTables>
  <data>
    <tabular pivotCacheId="1187926774">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E67152B-DF37-42BD-8BB4-F15BD78C2787}" sourceName="Order_Date">
  <pivotTables>
    <pivotTable tabId="6" name="PivotTable2"/>
  </pivotTables>
  <data>
    <tabular pivotCacheId="1187926774">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B2825FF-04CA-4F48-8235-137684D6D185}" cache="Slicer_Product" caption="Product" rowHeight="234950"/>
  <slicer name="Order_Date" xr10:uid="{6B78884F-B438-4F78-9AEC-F85D603382F7}" cache="Slicer_Order_Date" caption="Order_Date" startItem="1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A640FA-D277-4FB3-93A8-89EFBA8C2F41}" name="salesdata" displayName="salesdata" ref="A1:I52" totalsRowShown="0">
  <autoFilter ref="A1:I52" xr:uid="{D4A640FA-D277-4FB3-93A8-89EFBA8C2F41}"/>
  <tableColumns count="9">
    <tableColumn id="1" xr3:uid="{5908F8AA-8EA6-48CC-AEBF-85175ED69765}" name="Column1"/>
    <tableColumn id="2" xr3:uid="{E4213B21-F133-4FEC-A1D9-62FF9B1EDE48}" name="Order_Date" dataDxfId="8"/>
    <tableColumn id="3" xr3:uid="{79C341AB-6AE4-4EC1-8050-9BC6A2A3492C}" name="Product"/>
    <tableColumn id="4" xr3:uid="{F8ADF900-2717-4928-86DC-61EA2885507E}" name="Category"/>
    <tableColumn id="5" xr3:uid="{8B64B29D-8A08-448B-949C-F4BD96147E08}" name="Region"/>
    <tableColumn id="6" xr3:uid="{20E350E6-FBF6-42E7-8EB6-575F6388F76E}" name="Salesperson"/>
    <tableColumn id="7" xr3:uid="{538129EB-064F-43EE-A7F5-69DD485DD6D9}" name="Quantity"/>
    <tableColumn id="8" xr3:uid="{22DE63B6-25F4-4DE3-A7B6-509A8185208C}" name="Unit_Price"/>
    <tableColumn id="9" xr3:uid="{419F4A59-F948-4FD6-BD51-FAE17301FB82}" name="revenue" dataDxfId="7">
      <calculatedColumnFormula>G2*H2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B5F67E-6198-41B6-9009-F1DF6F382C81}" name="cleansalesdata" displayName="cleansalesdata" ref="A1:I52" totalsRowCount="1">
  <autoFilter ref="A1:I51" xr:uid="{1CB5F67E-6198-41B6-9009-F1DF6F382C81}"/>
  <tableColumns count="9">
    <tableColumn id="1" xr3:uid="{F9EF9C4F-87F9-435C-A61B-D6BE317788AB}" name="Column1" totalsRowFunction="count"/>
    <tableColumn id="2" xr3:uid="{D5D5968E-F851-452F-BE6A-FED9AFE02266}" name="Order_Date" dataDxfId="6"/>
    <tableColumn id="3" xr3:uid="{9D78CF65-7AAF-4466-8968-378EB2407A04}" name="Product"/>
    <tableColumn id="4" xr3:uid="{B5749F38-2086-4EBC-B388-361D18749B94}" name="Category"/>
    <tableColumn id="5" xr3:uid="{E8DC9980-C81E-4FEC-A3E7-AF983CD0328E}" name="Region"/>
    <tableColumn id="6" xr3:uid="{9C6BD759-466E-4053-A37B-317263E7E9EF}" name="Salesperson" totalsRowFunction="count"/>
    <tableColumn id="7" xr3:uid="{D22FCD90-A099-4A78-914C-6F161AACB38F}" name="Quantity" totalsRowFunction="sum"/>
    <tableColumn id="8" xr3:uid="{EEBC8D6A-178C-4913-A63D-3548F4D931F0}" name="Unit_Price" totalsRowFunction="count"/>
    <tableColumn id="9" xr3:uid="{88D72DF4-79E4-49FA-9731-A1FAC18EC0CB}" name="revenue" totalsRowFunction="sum" dataDxfId="5" totalsRowDxfId="4">
      <calculatedColumnFormula>G2*H2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CF8E4-072D-4423-B06A-B4F4F062FC02}">
  <dimension ref="A1:I52"/>
  <sheetViews>
    <sheetView tabSelected="1" workbookViewId="0">
      <selection activeCell="K22" sqref="K22"/>
    </sheetView>
  </sheetViews>
  <sheetFormatPr defaultRowHeight="14.4"/>
  <cols>
    <col min="1" max="1" width="10.44140625" customWidth="1"/>
    <col min="2" max="2" width="12.5546875" customWidth="1"/>
    <col min="3" max="3" width="11.109375" bestFit="1" customWidth="1"/>
    <col min="4" max="4" width="10.44140625" bestFit="1" customWidth="1"/>
    <col min="5" max="5" width="9.77734375" bestFit="1" customWidth="1"/>
    <col min="6" max="6" width="12.88671875" customWidth="1"/>
    <col min="7" max="7" width="10.21875" customWidth="1"/>
    <col min="8" max="8" width="11.5546875" customWidth="1"/>
    <col min="9" max="9" width="12.33203125" bestFit="1" customWidth="1"/>
  </cols>
  <sheetData>
    <row r="1" spans="1:9">
      <c r="A1" t="s">
        <v>24</v>
      </c>
      <c r="B1" t="s">
        <v>0</v>
      </c>
      <c r="C1" t="s">
        <v>1</v>
      </c>
      <c r="D1" t="s">
        <v>2</v>
      </c>
      <c r="E1" t="s">
        <v>3</v>
      </c>
      <c r="F1" t="s">
        <v>4</v>
      </c>
      <c r="G1" t="s">
        <v>5</v>
      </c>
      <c r="H1" t="s">
        <v>6</v>
      </c>
      <c r="I1" t="s">
        <v>23</v>
      </c>
    </row>
    <row r="2" spans="1:9">
      <c r="A2">
        <v>1001</v>
      </c>
      <c r="B2" s="1">
        <v>46023</v>
      </c>
      <c r="C2" t="s">
        <v>7</v>
      </c>
      <c r="D2" t="s">
        <v>8</v>
      </c>
      <c r="E2" t="s">
        <v>9</v>
      </c>
      <c r="F2" t="s">
        <v>10</v>
      </c>
      <c r="G2">
        <v>2</v>
      </c>
      <c r="H2">
        <v>45000</v>
      </c>
      <c r="I2" s="2">
        <f>G2*H2</f>
        <v>90000</v>
      </c>
    </row>
    <row r="3" spans="1:9">
      <c r="A3">
        <v>1002</v>
      </c>
      <c r="B3" s="1">
        <v>46025</v>
      </c>
      <c r="C3" t="s">
        <v>11</v>
      </c>
      <c r="D3" t="s">
        <v>12</v>
      </c>
      <c r="E3" t="s">
        <v>13</v>
      </c>
      <c r="F3" t="s">
        <v>14</v>
      </c>
      <c r="G3">
        <v>5</v>
      </c>
      <c r="H3">
        <v>800</v>
      </c>
      <c r="I3" s="3">
        <f t="shared" ref="I3:I51" si="0">G3*H3</f>
        <v>4000</v>
      </c>
    </row>
    <row r="4" spans="1:9">
      <c r="A4">
        <v>1003</v>
      </c>
      <c r="B4" s="1">
        <v>46027</v>
      </c>
      <c r="C4" t="s">
        <v>15</v>
      </c>
      <c r="D4" t="s">
        <v>12</v>
      </c>
      <c r="E4" t="s">
        <v>16</v>
      </c>
      <c r="F4" t="s">
        <v>17</v>
      </c>
      <c r="G4">
        <v>3</v>
      </c>
      <c r="H4">
        <v>1500</v>
      </c>
      <c r="I4" s="3">
        <f t="shared" si="0"/>
        <v>4500</v>
      </c>
    </row>
    <row r="5" spans="1:9">
      <c r="A5">
        <v>1004</v>
      </c>
      <c r="B5" s="1">
        <v>46030</v>
      </c>
      <c r="C5" t="s">
        <v>18</v>
      </c>
      <c r="D5" t="s">
        <v>8</v>
      </c>
      <c r="E5" t="s">
        <v>9</v>
      </c>
      <c r="F5" t="s">
        <v>19</v>
      </c>
      <c r="G5">
        <v>2</v>
      </c>
      <c r="H5">
        <v>12000</v>
      </c>
      <c r="I5" s="3">
        <f t="shared" si="0"/>
        <v>24000</v>
      </c>
    </row>
    <row r="6" spans="1:9">
      <c r="A6">
        <v>1005</v>
      </c>
      <c r="B6" s="1">
        <v>46034</v>
      </c>
      <c r="C6" t="s">
        <v>7</v>
      </c>
      <c r="D6" t="s">
        <v>8</v>
      </c>
      <c r="E6" t="s">
        <v>20</v>
      </c>
      <c r="F6" t="s">
        <v>21</v>
      </c>
      <c r="G6">
        <v>1</v>
      </c>
      <c r="H6">
        <v>45000</v>
      </c>
      <c r="I6" s="3">
        <f t="shared" si="0"/>
        <v>45000</v>
      </c>
    </row>
    <row r="7" spans="1:9">
      <c r="A7">
        <v>1006</v>
      </c>
      <c r="B7" s="1">
        <v>46037</v>
      </c>
      <c r="C7" t="s">
        <v>22</v>
      </c>
      <c r="D7" t="s">
        <v>12</v>
      </c>
      <c r="E7" t="s">
        <v>13</v>
      </c>
      <c r="F7" t="s">
        <v>10</v>
      </c>
      <c r="G7">
        <v>4</v>
      </c>
      <c r="H7">
        <v>2500</v>
      </c>
      <c r="I7" s="3">
        <f t="shared" si="0"/>
        <v>10000</v>
      </c>
    </row>
    <row r="8" spans="1:9">
      <c r="A8">
        <v>1007</v>
      </c>
      <c r="B8" s="1">
        <v>46040</v>
      </c>
      <c r="C8" t="s">
        <v>15</v>
      </c>
      <c r="D8" t="s">
        <v>12</v>
      </c>
      <c r="E8" t="s">
        <v>9</v>
      </c>
      <c r="F8" t="s">
        <v>14</v>
      </c>
      <c r="G8">
        <v>6</v>
      </c>
      <c r="H8">
        <v>1500</v>
      </c>
      <c r="I8" s="3">
        <f t="shared" si="0"/>
        <v>9000</v>
      </c>
    </row>
    <row r="9" spans="1:9">
      <c r="A9">
        <v>1008</v>
      </c>
      <c r="B9" s="1">
        <v>46044</v>
      </c>
      <c r="C9" t="s">
        <v>18</v>
      </c>
      <c r="D9" t="s">
        <v>8</v>
      </c>
      <c r="E9" t="s">
        <v>16</v>
      </c>
      <c r="F9" t="s">
        <v>17</v>
      </c>
      <c r="G9">
        <v>3</v>
      </c>
      <c r="H9">
        <v>12000</v>
      </c>
      <c r="I9" s="3">
        <f t="shared" si="0"/>
        <v>36000</v>
      </c>
    </row>
    <row r="10" spans="1:9">
      <c r="A10">
        <v>1009</v>
      </c>
      <c r="B10" s="1">
        <v>46047</v>
      </c>
      <c r="C10" t="s">
        <v>11</v>
      </c>
      <c r="D10" t="s">
        <v>12</v>
      </c>
      <c r="E10" t="s">
        <v>20</v>
      </c>
      <c r="F10" t="s">
        <v>19</v>
      </c>
      <c r="G10">
        <v>8</v>
      </c>
      <c r="H10">
        <v>800</v>
      </c>
      <c r="I10" s="3">
        <f t="shared" si="0"/>
        <v>6400</v>
      </c>
    </row>
    <row r="11" spans="1:9">
      <c r="A11">
        <v>1010</v>
      </c>
      <c r="B11" s="1">
        <v>46050</v>
      </c>
      <c r="C11" t="s">
        <v>7</v>
      </c>
      <c r="D11" t="s">
        <v>8</v>
      </c>
      <c r="E11" t="s">
        <v>13</v>
      </c>
      <c r="F11" t="s">
        <v>21</v>
      </c>
      <c r="G11">
        <v>2</v>
      </c>
      <c r="H11">
        <v>45000</v>
      </c>
      <c r="I11" s="3">
        <f t="shared" si="0"/>
        <v>90000</v>
      </c>
    </row>
    <row r="12" spans="1:9">
      <c r="A12">
        <v>1011</v>
      </c>
      <c r="B12" s="1">
        <v>46055</v>
      </c>
      <c r="C12" t="s">
        <v>18</v>
      </c>
      <c r="D12" t="s">
        <v>8</v>
      </c>
      <c r="E12" t="s">
        <v>9</v>
      </c>
      <c r="F12" t="s">
        <v>10</v>
      </c>
      <c r="G12">
        <v>4</v>
      </c>
      <c r="H12">
        <v>12000</v>
      </c>
      <c r="I12" s="3">
        <f t="shared" si="0"/>
        <v>48000</v>
      </c>
    </row>
    <row r="13" spans="1:9">
      <c r="A13">
        <v>1012</v>
      </c>
      <c r="B13" s="1">
        <v>46058</v>
      </c>
      <c r="C13" t="s">
        <v>11</v>
      </c>
      <c r="D13" t="s">
        <v>12</v>
      </c>
      <c r="E13" t="s">
        <v>16</v>
      </c>
      <c r="F13" t="s">
        <v>14</v>
      </c>
      <c r="G13">
        <v>7</v>
      </c>
      <c r="H13">
        <v>800</v>
      </c>
      <c r="I13" s="3">
        <f t="shared" si="0"/>
        <v>5600</v>
      </c>
    </row>
    <row r="14" spans="1:9">
      <c r="A14">
        <v>1013</v>
      </c>
      <c r="B14" s="1">
        <v>46061</v>
      </c>
      <c r="C14" t="s">
        <v>7</v>
      </c>
      <c r="D14" t="s">
        <v>8</v>
      </c>
      <c r="E14" t="s">
        <v>20</v>
      </c>
      <c r="F14" t="s">
        <v>17</v>
      </c>
      <c r="G14">
        <v>2</v>
      </c>
      <c r="H14">
        <v>45000</v>
      </c>
      <c r="I14" s="3">
        <f t="shared" si="0"/>
        <v>90000</v>
      </c>
    </row>
    <row r="15" spans="1:9">
      <c r="A15">
        <v>1014</v>
      </c>
      <c r="B15" s="1">
        <v>46064</v>
      </c>
      <c r="C15" t="s">
        <v>22</v>
      </c>
      <c r="D15" t="s">
        <v>12</v>
      </c>
      <c r="E15" t="s">
        <v>9</v>
      </c>
      <c r="F15" t="s">
        <v>19</v>
      </c>
      <c r="G15">
        <v>5</v>
      </c>
      <c r="H15">
        <v>2500</v>
      </c>
      <c r="I15" s="3">
        <f t="shared" si="0"/>
        <v>12500</v>
      </c>
    </row>
    <row r="16" spans="1:9">
      <c r="A16">
        <v>1015</v>
      </c>
      <c r="B16" s="1">
        <v>46067</v>
      </c>
      <c r="C16" t="s">
        <v>15</v>
      </c>
      <c r="D16" t="s">
        <v>12</v>
      </c>
      <c r="E16" t="s">
        <v>13</v>
      </c>
      <c r="F16" t="s">
        <v>21</v>
      </c>
      <c r="G16">
        <v>4</v>
      </c>
      <c r="H16">
        <v>1500</v>
      </c>
      <c r="I16" s="3">
        <f t="shared" si="0"/>
        <v>6000</v>
      </c>
    </row>
    <row r="17" spans="1:9">
      <c r="A17">
        <v>1016</v>
      </c>
      <c r="B17" s="1">
        <v>46070</v>
      </c>
      <c r="C17" t="s">
        <v>18</v>
      </c>
      <c r="D17" t="s">
        <v>8</v>
      </c>
      <c r="E17" t="s">
        <v>16</v>
      </c>
      <c r="F17" t="s">
        <v>10</v>
      </c>
      <c r="G17">
        <v>2</v>
      </c>
      <c r="H17">
        <v>12000</v>
      </c>
      <c r="I17" s="3">
        <f t="shared" si="0"/>
        <v>24000</v>
      </c>
    </row>
    <row r="18" spans="1:9">
      <c r="A18">
        <v>1017</v>
      </c>
      <c r="B18" s="1">
        <v>46073</v>
      </c>
      <c r="C18" t="s">
        <v>11</v>
      </c>
      <c r="D18" t="s">
        <v>12</v>
      </c>
      <c r="E18" t="s">
        <v>9</v>
      </c>
      <c r="F18" t="s">
        <v>14</v>
      </c>
      <c r="G18">
        <v>10</v>
      </c>
      <c r="H18">
        <v>800</v>
      </c>
      <c r="I18" s="3">
        <f t="shared" si="0"/>
        <v>8000</v>
      </c>
    </row>
    <row r="19" spans="1:9">
      <c r="A19">
        <v>1018</v>
      </c>
      <c r="B19" s="1">
        <v>46076</v>
      </c>
      <c r="C19" t="s">
        <v>7</v>
      </c>
      <c r="D19" t="s">
        <v>8</v>
      </c>
      <c r="E19" t="s">
        <v>13</v>
      </c>
      <c r="F19" t="s">
        <v>17</v>
      </c>
      <c r="G19">
        <v>1</v>
      </c>
      <c r="H19">
        <v>45000</v>
      </c>
      <c r="I19" s="3">
        <f t="shared" si="0"/>
        <v>45000</v>
      </c>
    </row>
    <row r="20" spans="1:9">
      <c r="A20">
        <v>1019</v>
      </c>
      <c r="B20" s="1">
        <v>46078</v>
      </c>
      <c r="C20" t="s">
        <v>22</v>
      </c>
      <c r="D20" t="s">
        <v>12</v>
      </c>
      <c r="E20" t="s">
        <v>20</v>
      </c>
      <c r="F20" t="s">
        <v>19</v>
      </c>
      <c r="G20">
        <v>6</v>
      </c>
      <c r="H20">
        <v>2500</v>
      </c>
      <c r="I20" s="3">
        <f t="shared" si="0"/>
        <v>15000</v>
      </c>
    </row>
    <row r="21" spans="1:9">
      <c r="A21">
        <v>1020</v>
      </c>
      <c r="B21" s="1">
        <v>46081</v>
      </c>
      <c r="C21" t="s">
        <v>15</v>
      </c>
      <c r="D21" t="s">
        <v>12</v>
      </c>
      <c r="E21" t="s">
        <v>9</v>
      </c>
      <c r="F21" t="s">
        <v>21</v>
      </c>
      <c r="G21">
        <v>5</v>
      </c>
      <c r="H21">
        <v>1500</v>
      </c>
      <c r="I21" s="3">
        <f t="shared" si="0"/>
        <v>7500</v>
      </c>
    </row>
    <row r="22" spans="1:9">
      <c r="A22">
        <v>1021</v>
      </c>
      <c r="B22" s="1">
        <v>46084</v>
      </c>
      <c r="C22" t="s">
        <v>7</v>
      </c>
      <c r="D22" t="s">
        <v>8</v>
      </c>
      <c r="E22" t="s">
        <v>16</v>
      </c>
      <c r="F22" t="s">
        <v>10</v>
      </c>
      <c r="G22">
        <v>3</v>
      </c>
      <c r="H22">
        <v>45000</v>
      </c>
      <c r="I22" s="3">
        <f t="shared" si="0"/>
        <v>135000</v>
      </c>
    </row>
    <row r="23" spans="1:9">
      <c r="A23">
        <v>1022</v>
      </c>
      <c r="B23" s="1">
        <v>46087</v>
      </c>
      <c r="C23" t="s">
        <v>18</v>
      </c>
      <c r="D23" t="s">
        <v>8</v>
      </c>
      <c r="E23" t="s">
        <v>20</v>
      </c>
      <c r="F23" t="s">
        <v>14</v>
      </c>
      <c r="G23">
        <v>2</v>
      </c>
      <c r="H23">
        <v>12000</v>
      </c>
      <c r="I23" s="3">
        <f t="shared" si="0"/>
        <v>24000</v>
      </c>
    </row>
    <row r="24" spans="1:9">
      <c r="A24">
        <v>1023</v>
      </c>
      <c r="B24" s="1">
        <v>46090</v>
      </c>
      <c r="C24" t="s">
        <v>11</v>
      </c>
      <c r="D24" t="s">
        <v>12</v>
      </c>
      <c r="E24" t="s">
        <v>13</v>
      </c>
      <c r="F24" t="s">
        <v>17</v>
      </c>
      <c r="G24">
        <v>9</v>
      </c>
      <c r="H24">
        <v>800</v>
      </c>
      <c r="I24" s="3">
        <f t="shared" si="0"/>
        <v>7200</v>
      </c>
    </row>
    <row r="25" spans="1:9">
      <c r="A25">
        <v>1024</v>
      </c>
      <c r="B25" s="1">
        <v>46093</v>
      </c>
      <c r="C25" t="s">
        <v>15</v>
      </c>
      <c r="D25" t="s">
        <v>12</v>
      </c>
      <c r="E25" t="s">
        <v>9</v>
      </c>
      <c r="F25" t="s">
        <v>19</v>
      </c>
      <c r="G25">
        <v>7</v>
      </c>
      <c r="H25">
        <v>1500</v>
      </c>
      <c r="I25" s="3">
        <f t="shared" si="0"/>
        <v>10500</v>
      </c>
    </row>
    <row r="26" spans="1:9">
      <c r="A26">
        <v>1025</v>
      </c>
      <c r="B26" s="1">
        <v>46096</v>
      </c>
      <c r="C26" t="s">
        <v>22</v>
      </c>
      <c r="D26" t="s">
        <v>12</v>
      </c>
      <c r="E26" t="s">
        <v>16</v>
      </c>
      <c r="F26" t="s">
        <v>21</v>
      </c>
      <c r="G26">
        <v>4</v>
      </c>
      <c r="H26">
        <v>2500</v>
      </c>
      <c r="I26" s="3">
        <f t="shared" si="0"/>
        <v>10000</v>
      </c>
    </row>
    <row r="27" spans="1:9">
      <c r="A27">
        <v>1026</v>
      </c>
      <c r="B27" s="1">
        <v>46099</v>
      </c>
      <c r="C27" t="s">
        <v>7</v>
      </c>
      <c r="D27" t="s">
        <v>8</v>
      </c>
      <c r="E27" t="s">
        <v>20</v>
      </c>
      <c r="F27" t="s">
        <v>10</v>
      </c>
      <c r="G27">
        <v>2</v>
      </c>
      <c r="H27">
        <v>45000</v>
      </c>
      <c r="I27" s="3">
        <f t="shared" si="0"/>
        <v>90000</v>
      </c>
    </row>
    <row r="28" spans="1:9">
      <c r="A28">
        <v>1027</v>
      </c>
      <c r="B28" s="1">
        <v>46102</v>
      </c>
      <c r="C28" t="s">
        <v>18</v>
      </c>
      <c r="D28" t="s">
        <v>8</v>
      </c>
      <c r="E28" t="s">
        <v>13</v>
      </c>
      <c r="F28" t="s">
        <v>14</v>
      </c>
      <c r="G28">
        <v>3</v>
      </c>
      <c r="H28">
        <v>12000</v>
      </c>
      <c r="I28" s="3">
        <f t="shared" si="0"/>
        <v>36000</v>
      </c>
    </row>
    <row r="29" spans="1:9">
      <c r="A29">
        <v>1028</v>
      </c>
      <c r="B29" s="1">
        <v>46105</v>
      </c>
      <c r="C29" t="s">
        <v>11</v>
      </c>
      <c r="D29" t="s">
        <v>12</v>
      </c>
      <c r="E29" t="s">
        <v>9</v>
      </c>
      <c r="F29" t="s">
        <v>17</v>
      </c>
      <c r="G29">
        <v>12</v>
      </c>
      <c r="H29">
        <v>800</v>
      </c>
      <c r="I29" s="3">
        <f t="shared" si="0"/>
        <v>9600</v>
      </c>
    </row>
    <row r="30" spans="1:9">
      <c r="A30">
        <v>1029</v>
      </c>
      <c r="B30" s="1">
        <v>46108</v>
      </c>
      <c r="C30" t="s">
        <v>15</v>
      </c>
      <c r="D30" t="s">
        <v>12</v>
      </c>
      <c r="E30" t="s">
        <v>20</v>
      </c>
      <c r="F30" t="s">
        <v>19</v>
      </c>
      <c r="G30">
        <v>6</v>
      </c>
      <c r="H30">
        <v>1500</v>
      </c>
      <c r="I30" s="3">
        <f t="shared" si="0"/>
        <v>9000</v>
      </c>
    </row>
    <row r="31" spans="1:9">
      <c r="A31">
        <v>1030</v>
      </c>
      <c r="B31" s="1">
        <v>46111</v>
      </c>
      <c r="C31" t="s">
        <v>22</v>
      </c>
      <c r="D31" t="s">
        <v>12</v>
      </c>
      <c r="E31" t="s">
        <v>13</v>
      </c>
      <c r="F31" t="s">
        <v>21</v>
      </c>
      <c r="G31">
        <v>5</v>
      </c>
      <c r="H31">
        <v>2500</v>
      </c>
      <c r="I31" s="3">
        <f t="shared" si="0"/>
        <v>12500</v>
      </c>
    </row>
    <row r="32" spans="1:9">
      <c r="A32">
        <v>1031</v>
      </c>
      <c r="B32" s="1">
        <v>46114</v>
      </c>
      <c r="C32" t="s">
        <v>7</v>
      </c>
      <c r="D32" t="s">
        <v>8</v>
      </c>
      <c r="E32" t="s">
        <v>9</v>
      </c>
      <c r="F32" t="s">
        <v>10</v>
      </c>
      <c r="G32">
        <v>2</v>
      </c>
      <c r="H32">
        <v>45000</v>
      </c>
      <c r="I32" s="3">
        <f t="shared" si="0"/>
        <v>90000</v>
      </c>
    </row>
    <row r="33" spans="1:9">
      <c r="A33">
        <v>1032</v>
      </c>
      <c r="B33" s="1">
        <v>46117</v>
      </c>
      <c r="C33" t="s">
        <v>18</v>
      </c>
      <c r="D33" t="s">
        <v>8</v>
      </c>
      <c r="E33" t="s">
        <v>16</v>
      </c>
      <c r="F33" t="s">
        <v>14</v>
      </c>
      <c r="G33">
        <v>4</v>
      </c>
      <c r="H33">
        <v>12000</v>
      </c>
      <c r="I33" s="3">
        <f t="shared" si="0"/>
        <v>48000</v>
      </c>
    </row>
    <row r="34" spans="1:9">
      <c r="A34">
        <v>1033</v>
      </c>
      <c r="B34" s="1">
        <v>46120</v>
      </c>
      <c r="C34" t="s">
        <v>11</v>
      </c>
      <c r="D34" t="s">
        <v>12</v>
      </c>
      <c r="E34" t="s">
        <v>20</v>
      </c>
      <c r="F34" t="s">
        <v>17</v>
      </c>
      <c r="G34">
        <v>11</v>
      </c>
      <c r="H34">
        <v>800</v>
      </c>
      <c r="I34" s="3">
        <f t="shared" si="0"/>
        <v>8800</v>
      </c>
    </row>
    <row r="35" spans="1:9">
      <c r="A35">
        <v>1034</v>
      </c>
      <c r="B35" s="1">
        <v>46123</v>
      </c>
      <c r="C35" t="s">
        <v>15</v>
      </c>
      <c r="D35" t="s">
        <v>12</v>
      </c>
      <c r="E35" t="s">
        <v>13</v>
      </c>
      <c r="F35" t="s">
        <v>19</v>
      </c>
      <c r="G35">
        <v>5</v>
      </c>
      <c r="H35">
        <v>1500</v>
      </c>
      <c r="I35" s="3">
        <f t="shared" si="0"/>
        <v>7500</v>
      </c>
    </row>
    <row r="36" spans="1:9">
      <c r="A36">
        <v>1035</v>
      </c>
      <c r="B36" s="1">
        <v>46126</v>
      </c>
      <c r="C36" t="s">
        <v>22</v>
      </c>
      <c r="D36" t="s">
        <v>12</v>
      </c>
      <c r="E36" t="s">
        <v>9</v>
      </c>
      <c r="F36" t="s">
        <v>21</v>
      </c>
      <c r="G36">
        <v>8</v>
      </c>
      <c r="H36">
        <v>2500</v>
      </c>
      <c r="I36" s="3">
        <f t="shared" si="0"/>
        <v>20000</v>
      </c>
    </row>
    <row r="37" spans="1:9">
      <c r="A37">
        <v>1036</v>
      </c>
      <c r="B37" s="1">
        <v>46129</v>
      </c>
      <c r="C37" t="s">
        <v>7</v>
      </c>
      <c r="D37" t="s">
        <v>8</v>
      </c>
      <c r="E37" t="s">
        <v>16</v>
      </c>
      <c r="F37" t="s">
        <v>10</v>
      </c>
      <c r="G37">
        <v>1</v>
      </c>
      <c r="H37">
        <v>45000</v>
      </c>
      <c r="I37" s="3">
        <f t="shared" si="0"/>
        <v>45000</v>
      </c>
    </row>
    <row r="38" spans="1:9">
      <c r="A38">
        <v>1037</v>
      </c>
      <c r="B38" s="1">
        <v>46132</v>
      </c>
      <c r="C38" t="s">
        <v>18</v>
      </c>
      <c r="D38" t="s">
        <v>8</v>
      </c>
      <c r="E38" t="s">
        <v>20</v>
      </c>
      <c r="F38" t="s">
        <v>14</v>
      </c>
      <c r="G38">
        <v>3</v>
      </c>
      <c r="H38">
        <v>12000</v>
      </c>
      <c r="I38" s="3">
        <f t="shared" si="0"/>
        <v>36000</v>
      </c>
    </row>
    <row r="39" spans="1:9">
      <c r="A39">
        <v>1038</v>
      </c>
      <c r="B39" s="1">
        <v>46135</v>
      </c>
      <c r="C39" t="s">
        <v>11</v>
      </c>
      <c r="D39" t="s">
        <v>12</v>
      </c>
      <c r="E39" t="s">
        <v>13</v>
      </c>
      <c r="F39" t="s">
        <v>17</v>
      </c>
      <c r="G39">
        <v>10</v>
      </c>
      <c r="H39">
        <v>800</v>
      </c>
      <c r="I39" s="3">
        <f t="shared" si="0"/>
        <v>8000</v>
      </c>
    </row>
    <row r="40" spans="1:9">
      <c r="A40">
        <v>1039</v>
      </c>
      <c r="B40" s="1">
        <v>46138</v>
      </c>
      <c r="C40" t="s">
        <v>15</v>
      </c>
      <c r="D40" t="s">
        <v>12</v>
      </c>
      <c r="E40" t="s">
        <v>9</v>
      </c>
      <c r="F40" t="s">
        <v>19</v>
      </c>
      <c r="G40">
        <v>8</v>
      </c>
      <c r="H40">
        <v>1500</v>
      </c>
      <c r="I40" s="3">
        <f t="shared" si="0"/>
        <v>12000</v>
      </c>
    </row>
    <row r="41" spans="1:9">
      <c r="A41">
        <v>1040</v>
      </c>
      <c r="B41" s="1">
        <v>46141</v>
      </c>
      <c r="C41" t="s">
        <v>22</v>
      </c>
      <c r="D41" t="s">
        <v>12</v>
      </c>
      <c r="E41" t="s">
        <v>16</v>
      </c>
      <c r="F41" t="s">
        <v>21</v>
      </c>
      <c r="G41">
        <v>6</v>
      </c>
      <c r="H41">
        <v>2500</v>
      </c>
      <c r="I41" s="3">
        <f t="shared" si="0"/>
        <v>15000</v>
      </c>
    </row>
    <row r="42" spans="1:9">
      <c r="A42">
        <v>1041</v>
      </c>
      <c r="B42" s="1">
        <v>46144</v>
      </c>
      <c r="C42" t="s">
        <v>7</v>
      </c>
      <c r="D42" t="s">
        <v>8</v>
      </c>
      <c r="E42" t="s">
        <v>20</v>
      </c>
      <c r="F42" t="s">
        <v>10</v>
      </c>
      <c r="G42">
        <v>3</v>
      </c>
      <c r="H42">
        <v>45000</v>
      </c>
      <c r="I42" s="3">
        <f t="shared" si="0"/>
        <v>135000</v>
      </c>
    </row>
    <row r="43" spans="1:9">
      <c r="A43">
        <v>1042</v>
      </c>
      <c r="B43" s="1">
        <v>46147</v>
      </c>
      <c r="C43" t="s">
        <v>18</v>
      </c>
      <c r="D43" t="s">
        <v>8</v>
      </c>
      <c r="E43" t="s">
        <v>13</v>
      </c>
      <c r="F43" t="s">
        <v>14</v>
      </c>
      <c r="G43">
        <v>2</v>
      </c>
      <c r="H43">
        <v>12000</v>
      </c>
      <c r="I43" s="3">
        <f t="shared" si="0"/>
        <v>24000</v>
      </c>
    </row>
    <row r="44" spans="1:9">
      <c r="A44">
        <v>1043</v>
      </c>
      <c r="B44" s="1">
        <v>46150</v>
      </c>
      <c r="C44" t="s">
        <v>11</v>
      </c>
      <c r="D44" t="s">
        <v>12</v>
      </c>
      <c r="E44" t="s">
        <v>9</v>
      </c>
      <c r="F44" t="s">
        <v>17</v>
      </c>
      <c r="G44">
        <v>15</v>
      </c>
      <c r="H44">
        <v>800</v>
      </c>
      <c r="I44" s="3">
        <f t="shared" si="0"/>
        <v>12000</v>
      </c>
    </row>
    <row r="45" spans="1:9">
      <c r="A45">
        <v>1044</v>
      </c>
      <c r="B45" s="1">
        <v>46153</v>
      </c>
      <c r="C45" t="s">
        <v>15</v>
      </c>
      <c r="D45" t="s">
        <v>12</v>
      </c>
      <c r="E45" t="s">
        <v>16</v>
      </c>
      <c r="F45" t="s">
        <v>19</v>
      </c>
      <c r="G45">
        <v>7</v>
      </c>
      <c r="H45">
        <v>1500</v>
      </c>
      <c r="I45" s="3">
        <f t="shared" si="0"/>
        <v>10500</v>
      </c>
    </row>
    <row r="46" spans="1:9">
      <c r="A46">
        <v>1045</v>
      </c>
      <c r="B46" s="1">
        <v>46156</v>
      </c>
      <c r="C46" t="s">
        <v>22</v>
      </c>
      <c r="D46" t="s">
        <v>12</v>
      </c>
      <c r="E46" t="s">
        <v>20</v>
      </c>
      <c r="F46" t="s">
        <v>21</v>
      </c>
      <c r="G46">
        <v>9</v>
      </c>
      <c r="H46">
        <v>2500</v>
      </c>
      <c r="I46" s="3">
        <f t="shared" si="0"/>
        <v>22500</v>
      </c>
    </row>
    <row r="47" spans="1:9">
      <c r="A47">
        <v>1046</v>
      </c>
      <c r="B47" s="1">
        <v>46159</v>
      </c>
      <c r="C47" t="s">
        <v>7</v>
      </c>
      <c r="D47" t="s">
        <v>8</v>
      </c>
      <c r="E47" t="s">
        <v>13</v>
      </c>
      <c r="F47" t="s">
        <v>10</v>
      </c>
      <c r="G47">
        <v>2</v>
      </c>
      <c r="H47">
        <v>45000</v>
      </c>
      <c r="I47" s="3">
        <f t="shared" si="0"/>
        <v>90000</v>
      </c>
    </row>
    <row r="48" spans="1:9">
      <c r="A48">
        <v>1047</v>
      </c>
      <c r="B48" s="1">
        <v>46162</v>
      </c>
      <c r="C48" t="s">
        <v>18</v>
      </c>
      <c r="D48" t="s">
        <v>8</v>
      </c>
      <c r="E48" t="s">
        <v>9</v>
      </c>
      <c r="F48" t="s">
        <v>14</v>
      </c>
      <c r="G48">
        <v>3</v>
      </c>
      <c r="H48">
        <v>12000</v>
      </c>
      <c r="I48" s="3">
        <f t="shared" si="0"/>
        <v>36000</v>
      </c>
    </row>
    <row r="49" spans="1:9">
      <c r="A49">
        <v>1048</v>
      </c>
      <c r="B49" s="1">
        <v>46165</v>
      </c>
      <c r="C49" t="s">
        <v>11</v>
      </c>
      <c r="D49" t="s">
        <v>12</v>
      </c>
      <c r="E49" t="s">
        <v>16</v>
      </c>
      <c r="F49" t="s">
        <v>17</v>
      </c>
      <c r="G49">
        <v>13</v>
      </c>
      <c r="H49">
        <v>800</v>
      </c>
      <c r="I49" s="3">
        <f t="shared" si="0"/>
        <v>10400</v>
      </c>
    </row>
    <row r="50" spans="1:9">
      <c r="A50">
        <v>1049</v>
      </c>
      <c r="B50" s="1">
        <v>46168</v>
      </c>
      <c r="C50" t="s">
        <v>15</v>
      </c>
      <c r="D50" t="s">
        <v>12</v>
      </c>
      <c r="E50" t="s">
        <v>20</v>
      </c>
      <c r="F50" t="s">
        <v>19</v>
      </c>
      <c r="G50">
        <v>6</v>
      </c>
      <c r="H50">
        <v>1500</v>
      </c>
      <c r="I50" s="3">
        <f t="shared" si="0"/>
        <v>9000</v>
      </c>
    </row>
    <row r="51" spans="1:9">
      <c r="A51">
        <v>1050</v>
      </c>
      <c r="B51" s="1">
        <v>46171</v>
      </c>
      <c r="C51" t="s">
        <v>22</v>
      </c>
      <c r="D51" t="s">
        <v>12</v>
      </c>
      <c r="E51" t="s">
        <v>13</v>
      </c>
      <c r="F51" t="s">
        <v>21</v>
      </c>
      <c r="G51">
        <v>7</v>
      </c>
      <c r="H51">
        <v>2500</v>
      </c>
      <c r="I51" s="3">
        <f t="shared" si="0"/>
        <v>17500</v>
      </c>
    </row>
    <row r="52" spans="1:9">
      <c r="B52" s="1"/>
      <c r="I52" s="3"/>
    </row>
  </sheetData>
  <conditionalFormatting sqref="A1">
    <cfRule type="duplicateValues" dxfId="3" priority="2"/>
  </conditionalFormatting>
  <conditionalFormatting sqref="A2:A52">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B1811-7C5E-4BD3-828B-E3C066BE600C}">
  <dimension ref="A3:B9"/>
  <sheetViews>
    <sheetView workbookViewId="0">
      <selection activeCell="M8" sqref="M8"/>
    </sheetView>
  </sheetViews>
  <sheetFormatPr defaultRowHeight="14.4"/>
  <cols>
    <col min="1" max="1" width="12.5546875" bestFit="1" customWidth="1"/>
    <col min="2" max="2" width="14.44140625" bestFit="1" customWidth="1"/>
  </cols>
  <sheetData>
    <row r="3" spans="1:2">
      <c r="A3" s="6" t="s">
        <v>30</v>
      </c>
      <c r="B3" t="s">
        <v>37</v>
      </c>
    </row>
    <row r="4" spans="1:2">
      <c r="A4" s="7" t="s">
        <v>32</v>
      </c>
      <c r="B4">
        <v>318900</v>
      </c>
    </row>
    <row r="5" spans="1:2">
      <c r="A5" s="7" t="s">
        <v>33</v>
      </c>
      <c r="B5">
        <v>261600</v>
      </c>
    </row>
    <row r="6" spans="1:2">
      <c r="A6" s="7" t="s">
        <v>34</v>
      </c>
      <c r="B6">
        <v>343800</v>
      </c>
    </row>
    <row r="7" spans="1:2">
      <c r="A7" s="7" t="s">
        <v>35</v>
      </c>
      <c r="B7">
        <v>290300</v>
      </c>
    </row>
    <row r="8" spans="1:2">
      <c r="A8" s="7" t="s">
        <v>36</v>
      </c>
      <c r="B8">
        <v>366900</v>
      </c>
    </row>
    <row r="9" spans="1:2">
      <c r="A9" s="7" t="s">
        <v>31</v>
      </c>
      <c r="B9">
        <v>1581500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1DB14-C203-4359-8CF2-A22018BF61C1}">
  <dimension ref="A3:B9"/>
  <sheetViews>
    <sheetView workbookViewId="0">
      <selection activeCell="M12" sqref="M12"/>
    </sheetView>
  </sheetViews>
  <sheetFormatPr defaultRowHeight="14.4"/>
  <cols>
    <col min="1" max="1" width="12.5546875" bestFit="1" customWidth="1"/>
    <col min="2" max="2" width="14.44140625" bestFit="1" customWidth="1"/>
  </cols>
  <sheetData>
    <row r="3" spans="1:2">
      <c r="A3" s="6" t="s">
        <v>30</v>
      </c>
      <c r="B3" t="s">
        <v>37</v>
      </c>
    </row>
    <row r="4" spans="1:2">
      <c r="A4" s="7" t="s">
        <v>7</v>
      </c>
      <c r="B4" s="18">
        <v>945000</v>
      </c>
    </row>
    <row r="5" spans="1:2">
      <c r="A5" s="7" t="s">
        <v>18</v>
      </c>
      <c r="B5" s="18">
        <v>336000</v>
      </c>
    </row>
    <row r="6" spans="1:2">
      <c r="A6" s="7" t="s">
        <v>22</v>
      </c>
      <c r="B6" s="18">
        <v>135000</v>
      </c>
    </row>
    <row r="7" spans="1:2">
      <c r="A7" s="7" t="s">
        <v>15</v>
      </c>
      <c r="B7" s="18">
        <v>85500</v>
      </c>
    </row>
    <row r="8" spans="1:2">
      <c r="A8" s="7" t="s">
        <v>11</v>
      </c>
      <c r="B8" s="18">
        <v>80000</v>
      </c>
    </row>
    <row r="9" spans="1:2">
      <c r="A9" s="7" t="s">
        <v>31</v>
      </c>
      <c r="B9" s="18">
        <v>1581500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0E9F4-BAC7-4DBA-B674-E2FEDD7E73C7}">
  <dimension ref="A3:B8"/>
  <sheetViews>
    <sheetView topLeftCell="A3" workbookViewId="0">
      <selection activeCell="N23" sqref="N23"/>
    </sheetView>
  </sheetViews>
  <sheetFormatPr defaultRowHeight="14.4"/>
  <cols>
    <col min="1" max="1" width="12.5546875" bestFit="1" customWidth="1"/>
    <col min="2" max="2" width="14.44140625" bestFit="1" customWidth="1"/>
  </cols>
  <sheetData>
    <row r="3" spans="1:2">
      <c r="A3" s="6" t="s">
        <v>30</v>
      </c>
      <c r="B3" t="s">
        <v>37</v>
      </c>
    </row>
    <row r="4" spans="1:2">
      <c r="A4" s="7" t="s">
        <v>16</v>
      </c>
      <c r="B4">
        <v>344000</v>
      </c>
    </row>
    <row r="5" spans="1:2">
      <c r="A5" s="7" t="s">
        <v>13</v>
      </c>
      <c r="B5">
        <v>357700</v>
      </c>
    </row>
    <row r="6" spans="1:2">
      <c r="A6" s="7" t="s">
        <v>9</v>
      </c>
      <c r="B6">
        <v>389100</v>
      </c>
    </row>
    <row r="7" spans="1:2">
      <c r="A7" s="7" t="s">
        <v>20</v>
      </c>
      <c r="B7">
        <v>490700</v>
      </c>
    </row>
    <row r="8" spans="1:2">
      <c r="A8" s="7" t="s">
        <v>31</v>
      </c>
      <c r="B8">
        <v>1581500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223B8-6DEA-4D98-B9AB-D05C70CAC2AA}">
  <dimension ref="A3:B9"/>
  <sheetViews>
    <sheetView workbookViewId="0">
      <selection activeCell="M23" sqref="M23"/>
    </sheetView>
  </sheetViews>
  <sheetFormatPr defaultRowHeight="14.4"/>
  <cols>
    <col min="1" max="1" width="12.5546875" bestFit="1" customWidth="1"/>
    <col min="2" max="2" width="14.44140625" bestFit="1" customWidth="1"/>
  </cols>
  <sheetData>
    <row r="3" spans="1:2">
      <c r="A3" s="6" t="s">
        <v>30</v>
      </c>
      <c r="B3" t="s">
        <v>37</v>
      </c>
    </row>
    <row r="4" spans="1:2">
      <c r="A4" s="7" t="s">
        <v>17</v>
      </c>
      <c r="B4">
        <v>231500</v>
      </c>
    </row>
    <row r="5" spans="1:2">
      <c r="A5" s="7" t="s">
        <v>21</v>
      </c>
      <c r="B5">
        <v>246000</v>
      </c>
    </row>
    <row r="6" spans="1:2">
      <c r="A6" s="7" t="s">
        <v>14</v>
      </c>
      <c r="B6">
        <v>230600</v>
      </c>
    </row>
    <row r="7" spans="1:2">
      <c r="A7" s="7" t="s">
        <v>10</v>
      </c>
      <c r="B7">
        <v>757000</v>
      </c>
    </row>
    <row r="8" spans="1:2">
      <c r="A8" s="7" t="s">
        <v>19</v>
      </c>
      <c r="B8">
        <v>116400</v>
      </c>
    </row>
    <row r="9" spans="1:2">
      <c r="A9" s="7" t="s">
        <v>31</v>
      </c>
      <c r="B9">
        <v>1581500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FBB0-13FB-4350-A634-8CB52F6C11E5}">
  <dimension ref="A1:I53"/>
  <sheetViews>
    <sheetView topLeftCell="A10" workbookViewId="0">
      <selection activeCell="B5" sqref="B5"/>
    </sheetView>
  </sheetViews>
  <sheetFormatPr defaultRowHeight="14.4"/>
  <cols>
    <col min="1" max="1" width="10.77734375" bestFit="1" customWidth="1"/>
    <col min="2" max="2" width="12.88671875" style="5" bestFit="1" customWidth="1"/>
    <col min="3" max="3" width="11.109375" bestFit="1" customWidth="1"/>
    <col min="4" max="4" width="10.77734375" bestFit="1" customWidth="1"/>
    <col min="5" max="5" width="9.77734375" bestFit="1" customWidth="1"/>
    <col min="6" max="6" width="13.21875" bestFit="1" customWidth="1"/>
    <col min="7" max="7" width="10.5546875" bestFit="1" customWidth="1"/>
    <col min="8" max="8" width="11.88671875" bestFit="1" customWidth="1"/>
    <col min="9" max="9" width="13.109375" bestFit="1" customWidth="1"/>
  </cols>
  <sheetData>
    <row r="1" spans="1:9">
      <c r="A1" t="s">
        <v>24</v>
      </c>
      <c r="B1" s="5" t="s">
        <v>0</v>
      </c>
      <c r="C1" t="s">
        <v>1</v>
      </c>
      <c r="D1" t="s">
        <v>2</v>
      </c>
      <c r="E1" t="s">
        <v>3</v>
      </c>
      <c r="F1" t="s">
        <v>4</v>
      </c>
      <c r="G1" t="s">
        <v>5</v>
      </c>
      <c r="H1" t="s">
        <v>6</v>
      </c>
      <c r="I1" t="s">
        <v>23</v>
      </c>
    </row>
    <row r="2" spans="1:9">
      <c r="A2">
        <v>1001</v>
      </c>
      <c r="B2" s="5">
        <v>46023</v>
      </c>
      <c r="C2" t="s">
        <v>7</v>
      </c>
      <c r="D2" t="s">
        <v>8</v>
      </c>
      <c r="E2" t="s">
        <v>9</v>
      </c>
      <c r="F2" t="s">
        <v>10</v>
      </c>
      <c r="G2">
        <v>2</v>
      </c>
      <c r="H2">
        <v>45000</v>
      </c>
      <c r="I2" s="2">
        <f>G2*H2</f>
        <v>90000</v>
      </c>
    </row>
    <row r="3" spans="1:9">
      <c r="A3">
        <v>1002</v>
      </c>
      <c r="B3" s="5">
        <v>46025</v>
      </c>
      <c r="C3" t="s">
        <v>11</v>
      </c>
      <c r="D3" t="s">
        <v>12</v>
      </c>
      <c r="E3" t="s">
        <v>13</v>
      </c>
      <c r="F3" t="s">
        <v>14</v>
      </c>
      <c r="G3">
        <v>5</v>
      </c>
      <c r="H3">
        <v>800</v>
      </c>
      <c r="I3" s="3">
        <f t="shared" ref="I3:I51" si="0">G3*H3</f>
        <v>4000</v>
      </c>
    </row>
    <row r="4" spans="1:9">
      <c r="A4">
        <v>1003</v>
      </c>
      <c r="B4" s="5">
        <v>46027</v>
      </c>
      <c r="C4" t="s">
        <v>15</v>
      </c>
      <c r="D4" t="s">
        <v>12</v>
      </c>
      <c r="E4" t="s">
        <v>16</v>
      </c>
      <c r="F4" t="s">
        <v>17</v>
      </c>
      <c r="G4">
        <v>3</v>
      </c>
      <c r="H4">
        <v>1500</v>
      </c>
      <c r="I4" s="3">
        <f t="shared" si="0"/>
        <v>4500</v>
      </c>
    </row>
    <row r="5" spans="1:9">
      <c r="A5">
        <v>1004</v>
      </c>
      <c r="B5" s="5">
        <v>46030</v>
      </c>
      <c r="C5" t="s">
        <v>18</v>
      </c>
      <c r="D5" t="s">
        <v>8</v>
      </c>
      <c r="E5" t="s">
        <v>9</v>
      </c>
      <c r="F5" t="s">
        <v>19</v>
      </c>
      <c r="G5">
        <v>2</v>
      </c>
      <c r="H5">
        <v>12000</v>
      </c>
      <c r="I5" s="3">
        <f t="shared" si="0"/>
        <v>24000</v>
      </c>
    </row>
    <row r="6" spans="1:9">
      <c r="A6">
        <v>1005</v>
      </c>
      <c r="B6" s="5">
        <v>46034</v>
      </c>
      <c r="C6" t="s">
        <v>7</v>
      </c>
      <c r="D6" t="s">
        <v>8</v>
      </c>
      <c r="E6" t="s">
        <v>20</v>
      </c>
      <c r="F6" t="s">
        <v>21</v>
      </c>
      <c r="G6">
        <v>1</v>
      </c>
      <c r="H6">
        <v>45000</v>
      </c>
      <c r="I6" s="3">
        <f t="shared" si="0"/>
        <v>45000</v>
      </c>
    </row>
    <row r="7" spans="1:9">
      <c r="A7">
        <v>1006</v>
      </c>
      <c r="B7" s="5">
        <v>46037</v>
      </c>
      <c r="C7" t="s">
        <v>22</v>
      </c>
      <c r="D7" t="s">
        <v>12</v>
      </c>
      <c r="E7" t="s">
        <v>13</v>
      </c>
      <c r="F7" t="s">
        <v>10</v>
      </c>
      <c r="G7">
        <v>4</v>
      </c>
      <c r="H7">
        <v>2500</v>
      </c>
      <c r="I7" s="3">
        <f t="shared" si="0"/>
        <v>10000</v>
      </c>
    </row>
    <row r="8" spans="1:9">
      <c r="A8">
        <v>1007</v>
      </c>
      <c r="B8" s="5">
        <v>46040</v>
      </c>
      <c r="C8" t="s">
        <v>15</v>
      </c>
      <c r="D8" t="s">
        <v>12</v>
      </c>
      <c r="E8" t="s">
        <v>9</v>
      </c>
      <c r="F8" t="s">
        <v>14</v>
      </c>
      <c r="G8">
        <v>6</v>
      </c>
      <c r="H8">
        <v>1500</v>
      </c>
      <c r="I8" s="3">
        <f t="shared" si="0"/>
        <v>9000</v>
      </c>
    </row>
    <row r="9" spans="1:9">
      <c r="A9">
        <v>1008</v>
      </c>
      <c r="B9" s="5">
        <v>46044</v>
      </c>
      <c r="C9" t="s">
        <v>18</v>
      </c>
      <c r="D9" t="s">
        <v>8</v>
      </c>
      <c r="E9" t="s">
        <v>16</v>
      </c>
      <c r="F9" t="s">
        <v>17</v>
      </c>
      <c r="G9">
        <v>3</v>
      </c>
      <c r="H9">
        <v>12000</v>
      </c>
      <c r="I9" s="3">
        <f t="shared" si="0"/>
        <v>36000</v>
      </c>
    </row>
    <row r="10" spans="1:9">
      <c r="A10">
        <v>1009</v>
      </c>
      <c r="B10" s="5">
        <v>46047</v>
      </c>
      <c r="C10" t="s">
        <v>11</v>
      </c>
      <c r="D10" t="s">
        <v>12</v>
      </c>
      <c r="E10" t="s">
        <v>20</v>
      </c>
      <c r="F10" t="s">
        <v>19</v>
      </c>
      <c r="G10">
        <v>8</v>
      </c>
      <c r="H10">
        <v>800</v>
      </c>
      <c r="I10" s="3">
        <f t="shared" si="0"/>
        <v>6400</v>
      </c>
    </row>
    <row r="11" spans="1:9">
      <c r="A11">
        <v>1010</v>
      </c>
      <c r="B11" s="5">
        <v>46050</v>
      </c>
      <c r="C11" t="s">
        <v>7</v>
      </c>
      <c r="D11" t="s">
        <v>8</v>
      </c>
      <c r="E11" t="s">
        <v>13</v>
      </c>
      <c r="F11" t="s">
        <v>21</v>
      </c>
      <c r="G11">
        <v>2</v>
      </c>
      <c r="H11">
        <v>45000</v>
      </c>
      <c r="I11" s="3">
        <f t="shared" si="0"/>
        <v>90000</v>
      </c>
    </row>
    <row r="12" spans="1:9">
      <c r="A12">
        <v>1011</v>
      </c>
      <c r="B12" s="5">
        <v>46055</v>
      </c>
      <c r="C12" t="s">
        <v>18</v>
      </c>
      <c r="D12" t="s">
        <v>8</v>
      </c>
      <c r="E12" t="s">
        <v>9</v>
      </c>
      <c r="F12" t="s">
        <v>10</v>
      </c>
      <c r="G12">
        <v>4</v>
      </c>
      <c r="H12">
        <v>12000</v>
      </c>
      <c r="I12" s="3">
        <f t="shared" si="0"/>
        <v>48000</v>
      </c>
    </row>
    <row r="13" spans="1:9">
      <c r="A13">
        <v>1012</v>
      </c>
      <c r="B13" s="5">
        <v>46058</v>
      </c>
      <c r="C13" t="s">
        <v>11</v>
      </c>
      <c r="D13" t="s">
        <v>12</v>
      </c>
      <c r="E13" t="s">
        <v>16</v>
      </c>
      <c r="F13" t="s">
        <v>14</v>
      </c>
      <c r="G13">
        <v>7</v>
      </c>
      <c r="H13">
        <v>800</v>
      </c>
      <c r="I13" s="3">
        <f t="shared" si="0"/>
        <v>5600</v>
      </c>
    </row>
    <row r="14" spans="1:9">
      <c r="A14">
        <v>1013</v>
      </c>
      <c r="B14" s="5">
        <v>46061</v>
      </c>
      <c r="C14" t="s">
        <v>7</v>
      </c>
      <c r="D14" t="s">
        <v>8</v>
      </c>
      <c r="E14" t="s">
        <v>20</v>
      </c>
      <c r="F14" t="s">
        <v>17</v>
      </c>
      <c r="G14">
        <v>2</v>
      </c>
      <c r="H14">
        <v>45000</v>
      </c>
      <c r="I14" s="3">
        <f t="shared" si="0"/>
        <v>90000</v>
      </c>
    </row>
    <row r="15" spans="1:9">
      <c r="A15">
        <v>1014</v>
      </c>
      <c r="B15" s="5">
        <v>46064</v>
      </c>
      <c r="C15" t="s">
        <v>22</v>
      </c>
      <c r="D15" t="s">
        <v>12</v>
      </c>
      <c r="E15" t="s">
        <v>9</v>
      </c>
      <c r="F15" t="s">
        <v>19</v>
      </c>
      <c r="G15">
        <v>5</v>
      </c>
      <c r="H15">
        <v>2500</v>
      </c>
      <c r="I15" s="3">
        <f t="shared" si="0"/>
        <v>12500</v>
      </c>
    </row>
    <row r="16" spans="1:9">
      <c r="A16">
        <v>1015</v>
      </c>
      <c r="B16" s="5">
        <v>46067</v>
      </c>
      <c r="C16" t="s">
        <v>15</v>
      </c>
      <c r="D16" t="s">
        <v>12</v>
      </c>
      <c r="E16" t="s">
        <v>13</v>
      </c>
      <c r="F16" t="s">
        <v>21</v>
      </c>
      <c r="G16">
        <v>4</v>
      </c>
      <c r="H16">
        <v>1500</v>
      </c>
      <c r="I16" s="3">
        <f t="shared" si="0"/>
        <v>6000</v>
      </c>
    </row>
    <row r="17" spans="1:9">
      <c r="A17">
        <v>1016</v>
      </c>
      <c r="B17" s="5">
        <v>46070</v>
      </c>
      <c r="C17" t="s">
        <v>18</v>
      </c>
      <c r="D17" t="s">
        <v>8</v>
      </c>
      <c r="E17" t="s">
        <v>16</v>
      </c>
      <c r="F17" t="s">
        <v>10</v>
      </c>
      <c r="G17">
        <v>2</v>
      </c>
      <c r="H17">
        <v>12000</v>
      </c>
      <c r="I17" s="3">
        <f t="shared" si="0"/>
        <v>24000</v>
      </c>
    </row>
    <row r="18" spans="1:9">
      <c r="A18">
        <v>1017</v>
      </c>
      <c r="B18" s="5">
        <v>46073</v>
      </c>
      <c r="C18" t="s">
        <v>11</v>
      </c>
      <c r="D18" t="s">
        <v>12</v>
      </c>
      <c r="E18" t="s">
        <v>9</v>
      </c>
      <c r="F18" t="s">
        <v>14</v>
      </c>
      <c r="G18">
        <v>10</v>
      </c>
      <c r="H18">
        <v>800</v>
      </c>
      <c r="I18" s="3">
        <f t="shared" si="0"/>
        <v>8000</v>
      </c>
    </row>
    <row r="19" spans="1:9">
      <c r="A19">
        <v>1018</v>
      </c>
      <c r="B19" s="5">
        <v>46076</v>
      </c>
      <c r="C19" t="s">
        <v>7</v>
      </c>
      <c r="D19" t="s">
        <v>8</v>
      </c>
      <c r="E19" t="s">
        <v>13</v>
      </c>
      <c r="F19" t="s">
        <v>17</v>
      </c>
      <c r="G19">
        <v>1</v>
      </c>
      <c r="H19">
        <v>45000</v>
      </c>
      <c r="I19" s="3">
        <f t="shared" si="0"/>
        <v>45000</v>
      </c>
    </row>
    <row r="20" spans="1:9">
      <c r="A20">
        <v>1019</v>
      </c>
      <c r="B20" s="5">
        <v>46078</v>
      </c>
      <c r="C20" t="s">
        <v>22</v>
      </c>
      <c r="D20" t="s">
        <v>12</v>
      </c>
      <c r="E20" t="s">
        <v>20</v>
      </c>
      <c r="F20" t="s">
        <v>19</v>
      </c>
      <c r="G20">
        <v>6</v>
      </c>
      <c r="H20">
        <v>2500</v>
      </c>
      <c r="I20" s="3">
        <f t="shared" si="0"/>
        <v>15000</v>
      </c>
    </row>
    <row r="21" spans="1:9">
      <c r="A21">
        <v>1020</v>
      </c>
      <c r="B21" s="5">
        <v>46081</v>
      </c>
      <c r="C21" t="s">
        <v>15</v>
      </c>
      <c r="D21" t="s">
        <v>12</v>
      </c>
      <c r="E21" t="s">
        <v>9</v>
      </c>
      <c r="F21" t="s">
        <v>21</v>
      </c>
      <c r="G21">
        <v>5</v>
      </c>
      <c r="H21">
        <v>1500</v>
      </c>
      <c r="I21" s="3">
        <f t="shared" si="0"/>
        <v>7500</v>
      </c>
    </row>
    <row r="22" spans="1:9">
      <c r="A22">
        <v>1021</v>
      </c>
      <c r="B22" s="5">
        <v>46084</v>
      </c>
      <c r="C22" t="s">
        <v>7</v>
      </c>
      <c r="D22" t="s">
        <v>8</v>
      </c>
      <c r="E22" t="s">
        <v>16</v>
      </c>
      <c r="F22" t="s">
        <v>10</v>
      </c>
      <c r="G22">
        <v>3</v>
      </c>
      <c r="H22">
        <v>45000</v>
      </c>
      <c r="I22" s="3">
        <f t="shared" si="0"/>
        <v>135000</v>
      </c>
    </row>
    <row r="23" spans="1:9">
      <c r="A23">
        <v>1022</v>
      </c>
      <c r="B23" s="5">
        <v>46087</v>
      </c>
      <c r="C23" t="s">
        <v>18</v>
      </c>
      <c r="D23" t="s">
        <v>8</v>
      </c>
      <c r="E23" t="s">
        <v>20</v>
      </c>
      <c r="F23" t="s">
        <v>14</v>
      </c>
      <c r="G23">
        <v>2</v>
      </c>
      <c r="H23">
        <v>12000</v>
      </c>
      <c r="I23" s="3">
        <f t="shared" si="0"/>
        <v>24000</v>
      </c>
    </row>
    <row r="24" spans="1:9">
      <c r="A24">
        <v>1023</v>
      </c>
      <c r="B24" s="5">
        <v>46090</v>
      </c>
      <c r="C24" t="s">
        <v>11</v>
      </c>
      <c r="D24" t="s">
        <v>12</v>
      </c>
      <c r="E24" t="s">
        <v>13</v>
      </c>
      <c r="F24" t="s">
        <v>17</v>
      </c>
      <c r="G24">
        <v>9</v>
      </c>
      <c r="H24">
        <v>800</v>
      </c>
      <c r="I24" s="3">
        <f t="shared" si="0"/>
        <v>7200</v>
      </c>
    </row>
    <row r="25" spans="1:9">
      <c r="A25">
        <v>1024</v>
      </c>
      <c r="B25" s="5">
        <v>46093</v>
      </c>
      <c r="C25" t="s">
        <v>15</v>
      </c>
      <c r="D25" t="s">
        <v>12</v>
      </c>
      <c r="E25" t="s">
        <v>9</v>
      </c>
      <c r="F25" t="s">
        <v>19</v>
      </c>
      <c r="G25">
        <v>7</v>
      </c>
      <c r="H25">
        <v>1500</v>
      </c>
      <c r="I25" s="3">
        <f t="shared" si="0"/>
        <v>10500</v>
      </c>
    </row>
    <row r="26" spans="1:9">
      <c r="A26">
        <v>1025</v>
      </c>
      <c r="B26" s="5">
        <v>46096</v>
      </c>
      <c r="C26" t="s">
        <v>22</v>
      </c>
      <c r="D26" t="s">
        <v>12</v>
      </c>
      <c r="E26" t="s">
        <v>16</v>
      </c>
      <c r="F26" t="s">
        <v>21</v>
      </c>
      <c r="G26">
        <v>4</v>
      </c>
      <c r="H26">
        <v>2500</v>
      </c>
      <c r="I26" s="3">
        <f t="shared" si="0"/>
        <v>10000</v>
      </c>
    </row>
    <row r="27" spans="1:9">
      <c r="A27">
        <v>1026</v>
      </c>
      <c r="B27" s="5">
        <v>46099</v>
      </c>
      <c r="C27" t="s">
        <v>7</v>
      </c>
      <c r="D27" t="s">
        <v>8</v>
      </c>
      <c r="E27" t="s">
        <v>20</v>
      </c>
      <c r="F27" t="s">
        <v>10</v>
      </c>
      <c r="G27">
        <v>2</v>
      </c>
      <c r="H27">
        <v>45000</v>
      </c>
      <c r="I27" s="3">
        <f t="shared" si="0"/>
        <v>90000</v>
      </c>
    </row>
    <row r="28" spans="1:9">
      <c r="A28">
        <v>1027</v>
      </c>
      <c r="B28" s="5">
        <v>46102</v>
      </c>
      <c r="C28" t="s">
        <v>18</v>
      </c>
      <c r="D28" t="s">
        <v>8</v>
      </c>
      <c r="E28" t="s">
        <v>13</v>
      </c>
      <c r="F28" t="s">
        <v>14</v>
      </c>
      <c r="G28">
        <v>3</v>
      </c>
      <c r="H28">
        <v>12000</v>
      </c>
      <c r="I28" s="3">
        <f t="shared" si="0"/>
        <v>36000</v>
      </c>
    </row>
    <row r="29" spans="1:9">
      <c r="A29">
        <v>1028</v>
      </c>
      <c r="B29" s="5">
        <v>46105</v>
      </c>
      <c r="C29" t="s">
        <v>11</v>
      </c>
      <c r="D29" t="s">
        <v>12</v>
      </c>
      <c r="E29" t="s">
        <v>9</v>
      </c>
      <c r="F29" t="s">
        <v>17</v>
      </c>
      <c r="G29">
        <v>12</v>
      </c>
      <c r="H29">
        <v>800</v>
      </c>
      <c r="I29" s="3">
        <f t="shared" si="0"/>
        <v>9600</v>
      </c>
    </row>
    <row r="30" spans="1:9">
      <c r="A30">
        <v>1029</v>
      </c>
      <c r="B30" s="5">
        <v>46108</v>
      </c>
      <c r="C30" t="s">
        <v>15</v>
      </c>
      <c r="D30" t="s">
        <v>12</v>
      </c>
      <c r="E30" t="s">
        <v>20</v>
      </c>
      <c r="F30" t="s">
        <v>19</v>
      </c>
      <c r="G30">
        <v>6</v>
      </c>
      <c r="H30">
        <v>1500</v>
      </c>
      <c r="I30" s="3">
        <f t="shared" si="0"/>
        <v>9000</v>
      </c>
    </row>
    <row r="31" spans="1:9">
      <c r="A31">
        <v>1030</v>
      </c>
      <c r="B31" s="5">
        <v>46111</v>
      </c>
      <c r="C31" t="s">
        <v>22</v>
      </c>
      <c r="D31" t="s">
        <v>12</v>
      </c>
      <c r="E31" t="s">
        <v>13</v>
      </c>
      <c r="F31" t="s">
        <v>21</v>
      </c>
      <c r="G31">
        <v>5</v>
      </c>
      <c r="H31">
        <v>2500</v>
      </c>
      <c r="I31" s="3">
        <f t="shared" si="0"/>
        <v>12500</v>
      </c>
    </row>
    <row r="32" spans="1:9">
      <c r="A32">
        <v>1031</v>
      </c>
      <c r="B32" s="5">
        <v>46114</v>
      </c>
      <c r="C32" t="s">
        <v>7</v>
      </c>
      <c r="D32" t="s">
        <v>8</v>
      </c>
      <c r="E32" t="s">
        <v>9</v>
      </c>
      <c r="F32" t="s">
        <v>10</v>
      </c>
      <c r="G32">
        <v>2</v>
      </c>
      <c r="H32">
        <v>45000</v>
      </c>
      <c r="I32" s="3">
        <f t="shared" si="0"/>
        <v>90000</v>
      </c>
    </row>
    <row r="33" spans="1:9">
      <c r="A33">
        <v>1032</v>
      </c>
      <c r="B33" s="5">
        <v>46117</v>
      </c>
      <c r="C33" t="s">
        <v>18</v>
      </c>
      <c r="D33" t="s">
        <v>8</v>
      </c>
      <c r="E33" t="s">
        <v>16</v>
      </c>
      <c r="F33" t="s">
        <v>14</v>
      </c>
      <c r="G33">
        <v>4</v>
      </c>
      <c r="H33">
        <v>12000</v>
      </c>
      <c r="I33" s="3">
        <f t="shared" si="0"/>
        <v>48000</v>
      </c>
    </row>
    <row r="34" spans="1:9">
      <c r="A34">
        <v>1033</v>
      </c>
      <c r="B34" s="5">
        <v>46120</v>
      </c>
      <c r="C34" t="s">
        <v>11</v>
      </c>
      <c r="D34" t="s">
        <v>12</v>
      </c>
      <c r="E34" t="s">
        <v>20</v>
      </c>
      <c r="F34" t="s">
        <v>17</v>
      </c>
      <c r="G34">
        <v>11</v>
      </c>
      <c r="H34">
        <v>800</v>
      </c>
      <c r="I34" s="3">
        <f t="shared" si="0"/>
        <v>8800</v>
      </c>
    </row>
    <row r="35" spans="1:9">
      <c r="A35">
        <v>1034</v>
      </c>
      <c r="B35" s="5">
        <v>46123</v>
      </c>
      <c r="C35" t="s">
        <v>15</v>
      </c>
      <c r="D35" t="s">
        <v>12</v>
      </c>
      <c r="E35" t="s">
        <v>13</v>
      </c>
      <c r="F35" t="s">
        <v>19</v>
      </c>
      <c r="G35">
        <v>5</v>
      </c>
      <c r="H35">
        <v>1500</v>
      </c>
      <c r="I35" s="3">
        <f t="shared" si="0"/>
        <v>7500</v>
      </c>
    </row>
    <row r="36" spans="1:9">
      <c r="A36">
        <v>1035</v>
      </c>
      <c r="B36" s="5">
        <v>46126</v>
      </c>
      <c r="C36" t="s">
        <v>22</v>
      </c>
      <c r="D36" t="s">
        <v>12</v>
      </c>
      <c r="E36" t="s">
        <v>9</v>
      </c>
      <c r="F36" t="s">
        <v>21</v>
      </c>
      <c r="G36">
        <v>8</v>
      </c>
      <c r="H36">
        <v>2500</v>
      </c>
      <c r="I36" s="3">
        <f t="shared" si="0"/>
        <v>20000</v>
      </c>
    </row>
    <row r="37" spans="1:9">
      <c r="A37">
        <v>1036</v>
      </c>
      <c r="B37" s="5">
        <v>46129</v>
      </c>
      <c r="C37" t="s">
        <v>7</v>
      </c>
      <c r="D37" t="s">
        <v>8</v>
      </c>
      <c r="E37" t="s">
        <v>16</v>
      </c>
      <c r="F37" t="s">
        <v>10</v>
      </c>
      <c r="G37">
        <v>1</v>
      </c>
      <c r="H37">
        <v>45000</v>
      </c>
      <c r="I37" s="3">
        <f t="shared" si="0"/>
        <v>45000</v>
      </c>
    </row>
    <row r="38" spans="1:9">
      <c r="A38">
        <v>1037</v>
      </c>
      <c r="B38" s="5">
        <v>46132</v>
      </c>
      <c r="C38" t="s">
        <v>18</v>
      </c>
      <c r="D38" t="s">
        <v>8</v>
      </c>
      <c r="E38" t="s">
        <v>20</v>
      </c>
      <c r="F38" t="s">
        <v>14</v>
      </c>
      <c r="G38">
        <v>3</v>
      </c>
      <c r="H38">
        <v>12000</v>
      </c>
      <c r="I38" s="3">
        <f t="shared" si="0"/>
        <v>36000</v>
      </c>
    </row>
    <row r="39" spans="1:9">
      <c r="A39">
        <v>1038</v>
      </c>
      <c r="B39" s="5">
        <v>46135</v>
      </c>
      <c r="C39" t="s">
        <v>11</v>
      </c>
      <c r="D39" t="s">
        <v>12</v>
      </c>
      <c r="E39" t="s">
        <v>13</v>
      </c>
      <c r="F39" t="s">
        <v>17</v>
      </c>
      <c r="G39">
        <v>10</v>
      </c>
      <c r="H39">
        <v>800</v>
      </c>
      <c r="I39" s="3">
        <f t="shared" si="0"/>
        <v>8000</v>
      </c>
    </row>
    <row r="40" spans="1:9">
      <c r="A40">
        <v>1039</v>
      </c>
      <c r="B40" s="5">
        <v>46138</v>
      </c>
      <c r="C40" t="s">
        <v>15</v>
      </c>
      <c r="D40" t="s">
        <v>12</v>
      </c>
      <c r="E40" t="s">
        <v>9</v>
      </c>
      <c r="F40" t="s">
        <v>19</v>
      </c>
      <c r="G40">
        <v>8</v>
      </c>
      <c r="H40">
        <v>1500</v>
      </c>
      <c r="I40" s="3">
        <f t="shared" si="0"/>
        <v>12000</v>
      </c>
    </row>
    <row r="41" spans="1:9">
      <c r="A41">
        <v>1040</v>
      </c>
      <c r="B41" s="5">
        <v>46141</v>
      </c>
      <c r="C41" t="s">
        <v>22</v>
      </c>
      <c r="D41" t="s">
        <v>12</v>
      </c>
      <c r="E41" t="s">
        <v>16</v>
      </c>
      <c r="F41" t="s">
        <v>21</v>
      </c>
      <c r="G41">
        <v>6</v>
      </c>
      <c r="H41">
        <v>2500</v>
      </c>
      <c r="I41" s="3">
        <f t="shared" si="0"/>
        <v>15000</v>
      </c>
    </row>
    <row r="42" spans="1:9">
      <c r="A42">
        <v>1041</v>
      </c>
      <c r="B42" s="5">
        <v>46144</v>
      </c>
      <c r="C42" t="s">
        <v>7</v>
      </c>
      <c r="D42" t="s">
        <v>8</v>
      </c>
      <c r="E42" t="s">
        <v>20</v>
      </c>
      <c r="F42" t="s">
        <v>10</v>
      </c>
      <c r="G42">
        <v>3</v>
      </c>
      <c r="H42">
        <v>45000</v>
      </c>
      <c r="I42" s="3">
        <f t="shared" si="0"/>
        <v>135000</v>
      </c>
    </row>
    <row r="43" spans="1:9">
      <c r="A43">
        <v>1042</v>
      </c>
      <c r="B43" s="5">
        <v>46147</v>
      </c>
      <c r="C43" t="s">
        <v>18</v>
      </c>
      <c r="D43" t="s">
        <v>8</v>
      </c>
      <c r="E43" t="s">
        <v>13</v>
      </c>
      <c r="F43" t="s">
        <v>14</v>
      </c>
      <c r="G43">
        <v>2</v>
      </c>
      <c r="H43">
        <v>12000</v>
      </c>
      <c r="I43" s="3">
        <f t="shared" si="0"/>
        <v>24000</v>
      </c>
    </row>
    <row r="44" spans="1:9">
      <c r="A44">
        <v>1043</v>
      </c>
      <c r="B44" s="5">
        <v>46150</v>
      </c>
      <c r="C44" t="s">
        <v>11</v>
      </c>
      <c r="D44" t="s">
        <v>12</v>
      </c>
      <c r="E44" t="s">
        <v>9</v>
      </c>
      <c r="F44" t="s">
        <v>17</v>
      </c>
      <c r="G44">
        <v>15</v>
      </c>
      <c r="H44">
        <v>800</v>
      </c>
      <c r="I44" s="3">
        <f t="shared" si="0"/>
        <v>12000</v>
      </c>
    </row>
    <row r="45" spans="1:9">
      <c r="A45">
        <v>1044</v>
      </c>
      <c r="B45" s="5">
        <v>46153</v>
      </c>
      <c r="C45" t="s">
        <v>15</v>
      </c>
      <c r="D45" t="s">
        <v>12</v>
      </c>
      <c r="E45" t="s">
        <v>16</v>
      </c>
      <c r="F45" t="s">
        <v>19</v>
      </c>
      <c r="G45">
        <v>7</v>
      </c>
      <c r="H45">
        <v>1500</v>
      </c>
      <c r="I45" s="3">
        <f t="shared" si="0"/>
        <v>10500</v>
      </c>
    </row>
    <row r="46" spans="1:9">
      <c r="A46">
        <v>1045</v>
      </c>
      <c r="B46" s="5">
        <v>46156</v>
      </c>
      <c r="C46" t="s">
        <v>22</v>
      </c>
      <c r="D46" t="s">
        <v>12</v>
      </c>
      <c r="E46" t="s">
        <v>20</v>
      </c>
      <c r="F46" t="s">
        <v>21</v>
      </c>
      <c r="G46">
        <v>9</v>
      </c>
      <c r="H46">
        <v>2500</v>
      </c>
      <c r="I46" s="3">
        <f t="shared" si="0"/>
        <v>22500</v>
      </c>
    </row>
    <row r="47" spans="1:9">
      <c r="A47">
        <v>1046</v>
      </c>
      <c r="B47" s="5">
        <v>46159</v>
      </c>
      <c r="C47" t="s">
        <v>7</v>
      </c>
      <c r="D47" t="s">
        <v>8</v>
      </c>
      <c r="E47" t="s">
        <v>13</v>
      </c>
      <c r="F47" t="s">
        <v>10</v>
      </c>
      <c r="G47">
        <v>2</v>
      </c>
      <c r="H47">
        <v>45000</v>
      </c>
      <c r="I47" s="3">
        <f t="shared" si="0"/>
        <v>90000</v>
      </c>
    </row>
    <row r="48" spans="1:9">
      <c r="A48">
        <v>1047</v>
      </c>
      <c r="B48" s="5">
        <v>46162</v>
      </c>
      <c r="C48" t="s">
        <v>18</v>
      </c>
      <c r="D48" t="s">
        <v>8</v>
      </c>
      <c r="E48" t="s">
        <v>9</v>
      </c>
      <c r="F48" t="s">
        <v>14</v>
      </c>
      <c r="G48">
        <v>3</v>
      </c>
      <c r="H48">
        <v>12000</v>
      </c>
      <c r="I48" s="3">
        <f t="shared" si="0"/>
        <v>36000</v>
      </c>
    </row>
    <row r="49" spans="1:9">
      <c r="A49">
        <v>1048</v>
      </c>
      <c r="B49" s="5">
        <v>46165</v>
      </c>
      <c r="C49" t="s">
        <v>11</v>
      </c>
      <c r="D49" t="s">
        <v>12</v>
      </c>
      <c r="E49" t="s">
        <v>16</v>
      </c>
      <c r="F49" t="s">
        <v>17</v>
      </c>
      <c r="G49">
        <v>13</v>
      </c>
      <c r="H49">
        <v>800</v>
      </c>
      <c r="I49" s="3">
        <f t="shared" si="0"/>
        <v>10400</v>
      </c>
    </row>
    <row r="50" spans="1:9">
      <c r="A50">
        <v>1049</v>
      </c>
      <c r="B50" s="5">
        <v>46168</v>
      </c>
      <c r="C50" t="s">
        <v>15</v>
      </c>
      <c r="D50" t="s">
        <v>12</v>
      </c>
      <c r="E50" t="s">
        <v>20</v>
      </c>
      <c r="F50" t="s">
        <v>19</v>
      </c>
      <c r="G50">
        <v>6</v>
      </c>
      <c r="H50">
        <v>1500</v>
      </c>
      <c r="I50" s="3">
        <f t="shared" si="0"/>
        <v>9000</v>
      </c>
    </row>
    <row r="51" spans="1:9">
      <c r="A51">
        <v>1050</v>
      </c>
      <c r="B51" s="5">
        <v>46171</v>
      </c>
      <c r="C51" t="s">
        <v>22</v>
      </c>
      <c r="D51" t="s">
        <v>12</v>
      </c>
      <c r="E51" t="s">
        <v>13</v>
      </c>
      <c r="F51" t="s">
        <v>21</v>
      </c>
      <c r="G51">
        <v>7</v>
      </c>
      <c r="H51">
        <v>2500</v>
      </c>
      <c r="I51" s="3">
        <f t="shared" si="0"/>
        <v>17500</v>
      </c>
    </row>
    <row r="52" spans="1:9">
      <c r="A52">
        <f>SUBTOTAL(103,cleansalesdata[Column1])</f>
        <v>50</v>
      </c>
      <c r="B52"/>
      <c r="F52">
        <f>SUBTOTAL(103,cleansalesdata[Salesperson])</f>
        <v>50</v>
      </c>
      <c r="G52">
        <f>SUBTOTAL(109,cleansalesdata[Quantity])</f>
        <v>260</v>
      </c>
      <c r="H52">
        <f>SUBTOTAL(103,cleansalesdata[Unit_Price])</f>
        <v>50</v>
      </c>
      <c r="I52" s="3">
        <f>SUBTOTAL(109,cleansalesdata[revenue])</f>
        <v>1581500</v>
      </c>
    </row>
    <row r="53" spans="1:9">
      <c r="I53" s="3"/>
    </row>
  </sheetData>
  <conditionalFormatting sqref="A1">
    <cfRule type="duplicateValues" dxfId="1" priority="2"/>
  </conditionalFormatting>
  <conditionalFormatting sqref="A2:A51">
    <cfRule type="duplicateValues" dxfId="0"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CC46-0DD2-4A68-BACB-7D631B40EAF6}">
  <dimension ref="A1:B8"/>
  <sheetViews>
    <sheetView workbookViewId="0">
      <selection activeCell="E14" sqref="E14"/>
    </sheetView>
  </sheetViews>
  <sheetFormatPr defaultColWidth="17.44140625" defaultRowHeight="14.4"/>
  <cols>
    <col min="1" max="1" width="23.33203125" bestFit="1" customWidth="1"/>
    <col min="2" max="2" width="11.21875" bestFit="1" customWidth="1"/>
  </cols>
  <sheetData>
    <row r="1" spans="1:2">
      <c r="A1" t="s">
        <v>25</v>
      </c>
    </row>
    <row r="3" spans="1:2">
      <c r="A3" t="s">
        <v>26</v>
      </c>
      <c r="B3" s="4">
        <f>SUM(cleansalesdata[revenue])</f>
        <v>1581500</v>
      </c>
    </row>
    <row r="4" spans="1:2">
      <c r="A4" t="s">
        <v>27</v>
      </c>
      <c r="B4">
        <v>50</v>
      </c>
    </row>
    <row r="5" spans="1:2">
      <c r="A5" t="s">
        <v>28</v>
      </c>
      <c r="B5">
        <f>SUM(cleansalesdata[Quantity])</f>
        <v>260</v>
      </c>
    </row>
    <row r="6" spans="1:2">
      <c r="A6" t="s">
        <v>29</v>
      </c>
      <c r="B6" s="4">
        <f>B3/B4</f>
        <v>31630</v>
      </c>
    </row>
    <row r="7" spans="1:2">
      <c r="A7" t="s">
        <v>39</v>
      </c>
      <c r="B7" t="s">
        <v>38</v>
      </c>
    </row>
    <row r="8" spans="1:2">
      <c r="A8" t="s">
        <v>40</v>
      </c>
      <c r="B8">
        <v>945000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80781-0F68-496B-856B-EF1698B297B9}">
  <dimension ref="A1:O8"/>
  <sheetViews>
    <sheetView showGridLines="0" topLeftCell="A4" zoomScale="88" zoomScaleNormal="99" workbookViewId="0">
      <selection activeCell="B19" sqref="A19:B30"/>
    </sheetView>
  </sheetViews>
  <sheetFormatPr defaultRowHeight="14.4"/>
  <cols>
    <col min="1" max="1" width="8.88671875" style="8" customWidth="1"/>
    <col min="2" max="2" width="37.21875" style="8" bestFit="1" customWidth="1"/>
    <col min="3" max="4" width="8.88671875" style="8"/>
    <col min="5" max="5" width="17.6640625" style="8" bestFit="1" customWidth="1"/>
    <col min="6" max="7" width="8.88671875" style="8"/>
    <col min="8" max="8" width="26.88671875" style="8" bestFit="1" customWidth="1"/>
    <col min="9" max="10" width="8.88671875" style="8"/>
    <col min="11" max="11" width="32.21875" style="8" bestFit="1" customWidth="1"/>
    <col min="12" max="16384" width="8.88671875" style="8"/>
  </cols>
  <sheetData>
    <row r="1" spans="1:15" ht="14.4" customHeight="1">
      <c r="A1" s="11" t="s">
        <v>41</v>
      </c>
      <c r="B1" s="11"/>
      <c r="C1" s="11"/>
      <c r="D1" s="11"/>
      <c r="E1" s="11"/>
      <c r="F1" s="11"/>
      <c r="G1" s="11"/>
      <c r="H1" s="11"/>
      <c r="I1" s="11"/>
      <c r="J1" s="11"/>
      <c r="K1" s="11"/>
      <c r="L1" s="11"/>
      <c r="M1" s="11"/>
      <c r="N1" s="11"/>
      <c r="O1" s="11"/>
    </row>
    <row r="2" spans="1:15" ht="14.4" customHeight="1">
      <c r="A2" s="11"/>
      <c r="B2" s="11"/>
      <c r="C2" s="11"/>
      <c r="D2" s="11"/>
      <c r="E2" s="11"/>
      <c r="F2" s="11"/>
      <c r="G2" s="11"/>
      <c r="H2" s="11"/>
      <c r="I2" s="11"/>
      <c r="J2" s="11"/>
      <c r="K2" s="11"/>
      <c r="L2" s="11"/>
      <c r="M2" s="11"/>
      <c r="N2" s="11"/>
      <c r="O2" s="11"/>
    </row>
    <row r="3" spans="1:15" ht="14.4" customHeight="1">
      <c r="A3" s="11"/>
      <c r="B3" s="11"/>
      <c r="C3" s="11"/>
      <c r="D3" s="11"/>
      <c r="E3" s="11"/>
      <c r="F3" s="11"/>
      <c r="G3" s="11"/>
      <c r="H3" s="11"/>
      <c r="I3" s="11"/>
      <c r="J3" s="11"/>
      <c r="K3" s="11"/>
      <c r="L3" s="11"/>
      <c r="M3" s="11"/>
      <c r="N3" s="11"/>
      <c r="O3" s="11"/>
    </row>
    <row r="4" spans="1:15" ht="23.4">
      <c r="B4" s="14" t="str">
        <f>analysis!A3</f>
        <v>Total Revenue</v>
      </c>
      <c r="E4" s="12" t="str">
        <f>analysis!A4</f>
        <v>total orders</v>
      </c>
      <c r="H4" s="13" t="str">
        <f>analysis!A5</f>
        <v>total quantity sold</v>
      </c>
      <c r="K4" s="16" t="str">
        <f>analysis!A6</f>
        <v>Average Order Value</v>
      </c>
    </row>
    <row r="5" spans="1:15" ht="23.4">
      <c r="B5" s="15">
        <f>analysis!B3</f>
        <v>1581500</v>
      </c>
      <c r="E5" s="13">
        <f>analysis!B4</f>
        <v>50</v>
      </c>
      <c r="H5" s="13">
        <f>analysis!B5</f>
        <v>260</v>
      </c>
      <c r="K5" s="17">
        <f>analysis!B6</f>
        <v>31630</v>
      </c>
    </row>
    <row r="6" spans="1:15">
      <c r="K6" s="10"/>
    </row>
    <row r="8" spans="1:15">
      <c r="B8" s="9"/>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monthly_analysis</vt:lpstr>
      <vt:lpstr>product analysis</vt:lpstr>
      <vt:lpstr>region_sales data</vt:lpstr>
      <vt:lpstr>sales_persondata</vt:lpstr>
      <vt:lpstr>clean_data</vt:lpstr>
      <vt:lpstr>analysis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Aritakula</dc:creator>
  <cp:lastModifiedBy>Sai Aritakula</cp:lastModifiedBy>
  <dcterms:created xsi:type="dcterms:W3CDTF">2026-10-03T11:26:13Z</dcterms:created>
  <dcterms:modified xsi:type="dcterms:W3CDTF">2026-10-03T15:37:41Z</dcterms:modified>
</cp:coreProperties>
</file>